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07B6676B-790F-CA4F-B2F1-28B3EAB00F2D}" xr6:coauthVersionLast="47" xr6:coauthVersionMax="47" xr10:uidLastSave="{00000000-0000-0000-0000-000000000000}"/>
  <bookViews>
    <workbookView xWindow="240" yWindow="600" windowWidth="14800" windowHeight="8020" firstSheet="5" activeTab="5" xr2:uid="{00000000-000D-0000-FFFF-FFFF00000000}"/>
  </bookViews>
  <sheets>
    <sheet name="Ноябрь 25" sheetId="1" r:id="rId1"/>
    <sheet name="Декабрь 25" sheetId="2" r:id="rId2"/>
    <sheet name="Январь 26" sheetId="3" r:id="rId3"/>
    <sheet name="Февраль 26" sheetId="4" r:id="rId4"/>
    <sheet name="Март 26" sheetId="5" r:id="rId5"/>
    <sheet name="Апрель 26" sheetId="6" r:id="rId6"/>
  </sheets>
  <definedNames>
    <definedName name="_xlnm._FilterDatabase" localSheetId="5" hidden="1">'Апрель 26'!$A$1:$M$428</definedName>
    <definedName name="_xlnm._FilterDatabase" localSheetId="1" hidden="1">'Декабрь 25'!$A$1:$N$437</definedName>
    <definedName name="_xlnm._FilterDatabase" localSheetId="4" hidden="1">'Март 26'!$A$1:$P$428</definedName>
    <definedName name="_xlnm._FilterDatabase" localSheetId="0" hidden="1">'Ноябрь 25'!$A$1:$N$1</definedName>
    <definedName name="_xlnm._FilterDatabase" localSheetId="3" hidden="1">'Февраль 26'!$A$1:$P$369</definedName>
    <definedName name="_xlnm._FilterDatabase" localSheetId="2" hidden="1">'Январь 26'!$A$1:$P$376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8" i="5" l="1"/>
  <c r="F428" i="5"/>
  <c r="L428" i="5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O225" i="6" s="1"/>
  <c r="H224" i="6"/>
  <c r="G224" i="6"/>
  <c r="O224" i="6"/>
  <c r="H223" i="6"/>
  <c r="G223" i="6"/>
  <c r="O223" i="6"/>
  <c r="H222" i="6"/>
  <c r="G222" i="6"/>
  <c r="O222" i="6" s="1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G428" i="6" s="1"/>
  <c r="J392" i="5"/>
  <c r="K392" i="5"/>
  <c r="J393" i="5"/>
  <c r="K393" i="5"/>
  <c r="J394" i="5"/>
  <c r="K394" i="5"/>
  <c r="J395" i="5"/>
  <c r="K395" i="5"/>
  <c r="J396" i="5"/>
  <c r="K396" i="5"/>
  <c r="J397" i="5"/>
  <c r="K397" i="5"/>
  <c r="J398" i="5"/>
  <c r="K398" i="5"/>
  <c r="J399" i="5"/>
  <c r="K399" i="5"/>
  <c r="J400" i="5"/>
  <c r="K400" i="5"/>
  <c r="J401" i="5"/>
  <c r="K401" i="5"/>
  <c r="J402" i="5"/>
  <c r="K402" i="5"/>
  <c r="J403" i="5"/>
  <c r="K403" i="5"/>
  <c r="J404" i="5"/>
  <c r="K404" i="5"/>
  <c r="J405" i="5"/>
  <c r="K405" i="5"/>
  <c r="J406" i="5"/>
  <c r="K406" i="5"/>
  <c r="J407" i="5"/>
  <c r="K407" i="5"/>
  <c r="J408" i="5"/>
  <c r="K408" i="5"/>
  <c r="J409" i="5"/>
  <c r="K409" i="5"/>
  <c r="J410" i="5"/>
  <c r="K410" i="5"/>
  <c r="J411" i="5"/>
  <c r="K411" i="5"/>
  <c r="J412" i="5"/>
  <c r="K412" i="5"/>
  <c r="J413" i="5"/>
  <c r="K413" i="5"/>
  <c r="J414" i="5"/>
  <c r="K414" i="5"/>
  <c r="J415" i="5"/>
  <c r="K415" i="5"/>
  <c r="J416" i="5"/>
  <c r="K416" i="5"/>
  <c r="J417" i="5"/>
  <c r="K417" i="5"/>
  <c r="J418" i="5"/>
  <c r="K418" i="5"/>
  <c r="J419" i="5"/>
  <c r="K419" i="5"/>
  <c r="J420" i="5"/>
  <c r="K420" i="5"/>
  <c r="J421" i="5"/>
  <c r="K421" i="5"/>
  <c r="J422" i="5"/>
  <c r="K422" i="5"/>
  <c r="J423" i="5"/>
  <c r="K423" i="5"/>
  <c r="J424" i="5"/>
  <c r="K424" i="5"/>
  <c r="J425" i="5"/>
  <c r="K425" i="5"/>
  <c r="J426" i="5"/>
  <c r="K426" i="5"/>
  <c r="J427" i="5"/>
  <c r="K427" i="5"/>
  <c r="J364" i="5"/>
  <c r="K364" i="5"/>
  <c r="J365" i="5"/>
  <c r="K365" i="5"/>
  <c r="J366" i="5"/>
  <c r="K366" i="5"/>
  <c r="J367" i="5"/>
  <c r="K367" i="5"/>
  <c r="J368" i="5"/>
  <c r="K368" i="5"/>
  <c r="J369" i="5"/>
  <c r="K369" i="5"/>
  <c r="J370" i="5"/>
  <c r="K370" i="5"/>
  <c r="J371" i="5"/>
  <c r="K371" i="5"/>
  <c r="J372" i="5"/>
  <c r="K372" i="5"/>
  <c r="J373" i="5"/>
  <c r="K373" i="5"/>
  <c r="J374" i="5"/>
  <c r="K374" i="5"/>
  <c r="J375" i="5"/>
  <c r="K375" i="5"/>
  <c r="J376" i="5"/>
  <c r="K376" i="5"/>
  <c r="J377" i="5"/>
  <c r="K377" i="5"/>
  <c r="J378" i="5"/>
  <c r="K378" i="5"/>
  <c r="J379" i="5"/>
  <c r="K379" i="5"/>
  <c r="J380" i="5"/>
  <c r="K380" i="5"/>
  <c r="J381" i="5"/>
  <c r="K381" i="5"/>
  <c r="J382" i="5"/>
  <c r="K382" i="5"/>
  <c r="J383" i="5"/>
  <c r="K383" i="5"/>
  <c r="J384" i="5"/>
  <c r="K384" i="5"/>
  <c r="J385" i="5"/>
  <c r="K385" i="5"/>
  <c r="J386" i="5"/>
  <c r="K386" i="5"/>
  <c r="J387" i="5"/>
  <c r="K387" i="5"/>
  <c r="J388" i="5"/>
  <c r="K388" i="5"/>
  <c r="J389" i="5"/>
  <c r="K389" i="5"/>
  <c r="J390" i="5"/>
  <c r="K390" i="5"/>
  <c r="J391" i="5"/>
  <c r="K39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K369" i="4"/>
  <c r="F369" i="4"/>
  <c r="L369" i="4"/>
  <c r="K363" i="5"/>
  <c r="J363" i="5"/>
  <c r="K362" i="5"/>
  <c r="J362" i="5"/>
  <c r="K361" i="5"/>
  <c r="J361" i="5"/>
  <c r="K360" i="5"/>
  <c r="J360" i="5"/>
  <c r="K359" i="5"/>
  <c r="J359" i="5"/>
  <c r="K358" i="5"/>
  <c r="J358" i="5"/>
  <c r="K357" i="5"/>
  <c r="J357" i="5"/>
  <c r="K356" i="5"/>
  <c r="J356" i="5"/>
  <c r="K355" i="5"/>
  <c r="J355" i="5"/>
  <c r="K354" i="5"/>
  <c r="J354" i="5"/>
  <c r="K353" i="5"/>
  <c r="J353" i="5"/>
  <c r="K352" i="5"/>
  <c r="J352" i="5"/>
  <c r="K351" i="5"/>
  <c r="J351" i="5"/>
  <c r="K350" i="5"/>
  <c r="J350" i="5"/>
  <c r="K349" i="5"/>
  <c r="J349" i="5"/>
  <c r="K348" i="5"/>
  <c r="J348" i="5"/>
  <c r="K347" i="5"/>
  <c r="J347" i="5"/>
  <c r="K346" i="5"/>
  <c r="J346" i="5"/>
  <c r="K345" i="5"/>
  <c r="J345" i="5"/>
  <c r="K344" i="5"/>
  <c r="J344" i="5"/>
  <c r="K343" i="5"/>
  <c r="J343" i="5"/>
  <c r="K342" i="5"/>
  <c r="J342" i="5"/>
  <c r="K341" i="5"/>
  <c r="J341" i="5"/>
  <c r="K340" i="5"/>
  <c r="J340" i="5"/>
  <c r="K339" i="5"/>
  <c r="J339" i="5"/>
  <c r="K338" i="5"/>
  <c r="J338" i="5"/>
  <c r="K337" i="5"/>
  <c r="J337" i="5"/>
  <c r="K336" i="5"/>
  <c r="J336" i="5"/>
  <c r="K335" i="5"/>
  <c r="J335" i="5"/>
  <c r="K334" i="5"/>
  <c r="J334" i="5"/>
  <c r="K333" i="5"/>
  <c r="J333" i="5"/>
  <c r="K332" i="5"/>
  <c r="J332" i="5"/>
  <c r="K331" i="5"/>
  <c r="J331" i="5"/>
  <c r="K330" i="5"/>
  <c r="J330" i="5"/>
  <c r="K329" i="5"/>
  <c r="J329" i="5"/>
  <c r="K328" i="5"/>
  <c r="J328" i="5"/>
  <c r="K327" i="5"/>
  <c r="J327" i="5"/>
  <c r="K326" i="5"/>
  <c r="J326" i="5"/>
  <c r="K325" i="5"/>
  <c r="J325" i="5"/>
  <c r="K324" i="5"/>
  <c r="J324" i="5"/>
  <c r="K323" i="5"/>
  <c r="J323" i="5"/>
  <c r="K322" i="5"/>
  <c r="J322" i="5"/>
  <c r="K321" i="5"/>
  <c r="J321" i="5"/>
  <c r="K320" i="5"/>
  <c r="J320" i="5"/>
  <c r="K319" i="5"/>
  <c r="J319" i="5"/>
  <c r="K318" i="5"/>
  <c r="J318" i="5"/>
  <c r="K317" i="5"/>
  <c r="J317" i="5"/>
  <c r="K316" i="5"/>
  <c r="J316" i="5"/>
  <c r="K315" i="5"/>
  <c r="J315" i="5"/>
  <c r="K314" i="5"/>
  <c r="J314" i="5"/>
  <c r="K313" i="5"/>
  <c r="J313" i="5"/>
  <c r="K312" i="5"/>
  <c r="J312" i="5"/>
  <c r="K311" i="5"/>
  <c r="J311" i="5"/>
  <c r="K310" i="5"/>
  <c r="J310" i="5"/>
  <c r="K309" i="5"/>
  <c r="J309" i="5"/>
  <c r="K308" i="5"/>
  <c r="J308" i="5"/>
  <c r="K307" i="5"/>
  <c r="J307" i="5"/>
  <c r="K306" i="5"/>
  <c r="J306" i="5"/>
  <c r="K305" i="5"/>
  <c r="J305" i="5"/>
  <c r="K304" i="5"/>
  <c r="J304" i="5"/>
  <c r="K303" i="5"/>
  <c r="J303" i="5"/>
  <c r="K302" i="5"/>
  <c r="J302" i="5"/>
  <c r="K301" i="5"/>
  <c r="J301" i="5"/>
  <c r="K300" i="5"/>
  <c r="J300" i="5"/>
  <c r="K299" i="5"/>
  <c r="J299" i="5"/>
  <c r="K298" i="5"/>
  <c r="J298" i="5"/>
  <c r="K297" i="5"/>
  <c r="J297" i="5"/>
  <c r="K296" i="5"/>
  <c r="J296" i="5"/>
  <c r="K295" i="5"/>
  <c r="J295" i="5"/>
  <c r="K294" i="5"/>
  <c r="J294" i="5"/>
  <c r="K293" i="5"/>
  <c r="J293" i="5"/>
  <c r="K292" i="5"/>
  <c r="J292" i="5"/>
  <c r="K291" i="5"/>
  <c r="J291" i="5"/>
  <c r="K290" i="5"/>
  <c r="J290" i="5"/>
  <c r="K289" i="5"/>
  <c r="J289" i="5"/>
  <c r="K288" i="5"/>
  <c r="J288" i="5"/>
  <c r="K287" i="5"/>
  <c r="J287" i="5"/>
  <c r="K286" i="5"/>
  <c r="J286" i="5"/>
  <c r="K285" i="5"/>
  <c r="J285" i="5"/>
  <c r="K284" i="5"/>
  <c r="J284" i="5"/>
  <c r="K283" i="5"/>
  <c r="J283" i="5"/>
  <c r="K282" i="5"/>
  <c r="J282" i="5"/>
  <c r="K281" i="5"/>
  <c r="J281" i="5"/>
  <c r="K280" i="5"/>
  <c r="J280" i="5"/>
  <c r="K279" i="5"/>
  <c r="J279" i="5"/>
  <c r="K278" i="5"/>
  <c r="J278" i="5"/>
  <c r="K277" i="5"/>
  <c r="J277" i="5"/>
  <c r="K276" i="5"/>
  <c r="J276" i="5"/>
  <c r="K275" i="5"/>
  <c r="J275" i="5"/>
  <c r="K274" i="5"/>
  <c r="J274" i="5"/>
  <c r="K273" i="5"/>
  <c r="J273" i="5"/>
  <c r="K272" i="5"/>
  <c r="J272" i="5"/>
  <c r="K271" i="5"/>
  <c r="J271" i="5"/>
  <c r="K270" i="5"/>
  <c r="J270" i="5"/>
  <c r="K269" i="5"/>
  <c r="J269" i="5"/>
  <c r="K268" i="5"/>
  <c r="J268" i="5"/>
  <c r="K267" i="5"/>
  <c r="J267" i="5"/>
  <c r="K266" i="5"/>
  <c r="J266" i="5"/>
  <c r="K265" i="5"/>
  <c r="J265" i="5"/>
  <c r="K264" i="5"/>
  <c r="J264" i="5"/>
  <c r="K263" i="5"/>
  <c r="J263" i="5"/>
  <c r="K262" i="5"/>
  <c r="J262" i="5"/>
  <c r="K261" i="5"/>
  <c r="J261" i="5"/>
  <c r="K260" i="5"/>
  <c r="J260" i="5"/>
  <c r="K259" i="5"/>
  <c r="J259" i="5"/>
  <c r="K258" i="5"/>
  <c r="J258" i="5"/>
  <c r="K257" i="5"/>
  <c r="J257" i="5"/>
  <c r="K256" i="5"/>
  <c r="J256" i="5"/>
  <c r="K255" i="5"/>
  <c r="J255" i="5"/>
  <c r="K254" i="5"/>
  <c r="J254" i="5"/>
  <c r="K253" i="5"/>
  <c r="J253" i="5"/>
  <c r="K252" i="5"/>
  <c r="J252" i="5"/>
  <c r="K251" i="5"/>
  <c r="J251" i="5"/>
  <c r="K250" i="5"/>
  <c r="J250" i="5"/>
  <c r="K249" i="5"/>
  <c r="J249" i="5"/>
  <c r="K248" i="5"/>
  <c r="J248" i="5"/>
  <c r="K247" i="5"/>
  <c r="J247" i="5"/>
  <c r="K246" i="5"/>
  <c r="J246" i="5"/>
  <c r="K245" i="5"/>
  <c r="J245" i="5"/>
  <c r="K244" i="5"/>
  <c r="J244" i="5"/>
  <c r="K243" i="5"/>
  <c r="J243" i="5"/>
  <c r="K242" i="5"/>
  <c r="J242" i="5"/>
  <c r="K241" i="5"/>
  <c r="J241" i="5"/>
  <c r="K240" i="5"/>
  <c r="J240" i="5"/>
  <c r="K239" i="5"/>
  <c r="J239" i="5"/>
  <c r="K238" i="5"/>
  <c r="J238" i="5"/>
  <c r="K237" i="5"/>
  <c r="J237" i="5"/>
  <c r="K236" i="5"/>
  <c r="J236" i="5"/>
  <c r="K235" i="5"/>
  <c r="J235" i="5"/>
  <c r="K234" i="5"/>
  <c r="J234" i="5"/>
  <c r="K233" i="5"/>
  <c r="J233" i="5"/>
  <c r="K232" i="5"/>
  <c r="J232" i="5"/>
  <c r="K231" i="5"/>
  <c r="J231" i="5"/>
  <c r="K230" i="5"/>
  <c r="J230" i="5"/>
  <c r="K229" i="5"/>
  <c r="J229" i="5"/>
  <c r="K228" i="5"/>
  <c r="J228" i="5"/>
  <c r="K227" i="5"/>
  <c r="J227" i="5"/>
  <c r="K226" i="5"/>
  <c r="J226" i="5"/>
  <c r="K225" i="5"/>
  <c r="J225" i="5"/>
  <c r="R225" i="5"/>
  <c r="K224" i="5"/>
  <c r="J224" i="5"/>
  <c r="R224" i="5"/>
  <c r="K223" i="5"/>
  <c r="J223" i="5"/>
  <c r="R223" i="5"/>
  <c r="K222" i="5"/>
  <c r="J222" i="5"/>
  <c r="R222" i="5"/>
  <c r="K221" i="5"/>
  <c r="J221" i="5"/>
  <c r="K220" i="5"/>
  <c r="J220" i="5"/>
  <c r="K219" i="5"/>
  <c r="J219" i="5"/>
  <c r="K218" i="5"/>
  <c r="J218" i="5"/>
  <c r="K217" i="5"/>
  <c r="J217" i="5"/>
  <c r="K216" i="5"/>
  <c r="J216" i="5"/>
  <c r="K215" i="5"/>
  <c r="J215" i="5"/>
  <c r="K214" i="5"/>
  <c r="J214" i="5"/>
  <c r="K213" i="5"/>
  <c r="J213" i="5"/>
  <c r="K212" i="5"/>
  <c r="J212" i="5"/>
  <c r="K211" i="5"/>
  <c r="J211" i="5"/>
  <c r="K210" i="5"/>
  <c r="J210" i="5"/>
  <c r="K209" i="5"/>
  <c r="J209" i="5"/>
  <c r="K208" i="5"/>
  <c r="J208" i="5"/>
  <c r="K207" i="5"/>
  <c r="J207" i="5"/>
  <c r="K206" i="5"/>
  <c r="J206" i="5"/>
  <c r="K205" i="5"/>
  <c r="J205" i="5"/>
  <c r="K204" i="5"/>
  <c r="J204" i="5"/>
  <c r="K203" i="5"/>
  <c r="J203" i="5"/>
  <c r="K202" i="5"/>
  <c r="J202" i="5"/>
  <c r="K201" i="5"/>
  <c r="J201" i="5"/>
  <c r="K200" i="5"/>
  <c r="J200" i="5"/>
  <c r="K199" i="5"/>
  <c r="J199" i="5"/>
  <c r="K198" i="5"/>
  <c r="J198" i="5"/>
  <c r="K197" i="5"/>
  <c r="J197" i="5"/>
  <c r="K196" i="5"/>
  <c r="J196" i="5"/>
  <c r="K195" i="5"/>
  <c r="J195" i="5"/>
  <c r="K194" i="5"/>
  <c r="J194" i="5"/>
  <c r="K193" i="5"/>
  <c r="J193" i="5"/>
  <c r="K192" i="5"/>
  <c r="J192" i="5"/>
  <c r="K191" i="5"/>
  <c r="J191" i="5"/>
  <c r="K190" i="5"/>
  <c r="J190" i="5"/>
  <c r="K189" i="5"/>
  <c r="J189" i="5"/>
  <c r="K188" i="5"/>
  <c r="J188" i="5"/>
  <c r="K187" i="5"/>
  <c r="J187" i="5"/>
  <c r="K186" i="5"/>
  <c r="J186" i="5"/>
  <c r="K185" i="5"/>
  <c r="J185" i="5"/>
  <c r="K184" i="5"/>
  <c r="J184" i="5"/>
  <c r="K183" i="5"/>
  <c r="J183" i="5"/>
  <c r="K182" i="5"/>
  <c r="J182" i="5"/>
  <c r="K181" i="5"/>
  <c r="J181" i="5"/>
  <c r="K180" i="5"/>
  <c r="J180" i="5"/>
  <c r="K179" i="5"/>
  <c r="J179" i="5"/>
  <c r="K178" i="5"/>
  <c r="J178" i="5"/>
  <c r="K177" i="5"/>
  <c r="J177" i="5"/>
  <c r="K176" i="5"/>
  <c r="J176" i="5"/>
  <c r="K175" i="5"/>
  <c r="J175" i="5"/>
  <c r="K174" i="5"/>
  <c r="J174" i="5"/>
  <c r="K173" i="5"/>
  <c r="J173" i="5"/>
  <c r="K172" i="5"/>
  <c r="J172" i="5"/>
  <c r="K171" i="5"/>
  <c r="J171" i="5"/>
  <c r="K170" i="5"/>
  <c r="J170" i="5"/>
  <c r="K169" i="5"/>
  <c r="J169" i="5"/>
  <c r="K168" i="5"/>
  <c r="J168" i="5"/>
  <c r="K167" i="5"/>
  <c r="J167" i="5"/>
  <c r="K166" i="5"/>
  <c r="J166" i="5"/>
  <c r="K165" i="5"/>
  <c r="J165" i="5"/>
  <c r="K164" i="5"/>
  <c r="J164" i="5"/>
  <c r="K163" i="5"/>
  <c r="J163" i="5"/>
  <c r="K162" i="5"/>
  <c r="J162" i="5"/>
  <c r="K161" i="5"/>
  <c r="J161" i="5"/>
  <c r="K160" i="5"/>
  <c r="J160" i="5"/>
  <c r="K159" i="5"/>
  <c r="J159" i="5"/>
  <c r="K158" i="5"/>
  <c r="J158" i="5"/>
  <c r="K157" i="5"/>
  <c r="J157" i="5"/>
  <c r="K156" i="5"/>
  <c r="J156" i="5"/>
  <c r="K155" i="5"/>
  <c r="J155" i="5"/>
  <c r="K154" i="5"/>
  <c r="J154" i="5"/>
  <c r="K153" i="5"/>
  <c r="J153" i="5"/>
  <c r="K152" i="5"/>
  <c r="J152" i="5"/>
  <c r="K151" i="5"/>
  <c r="J151" i="5"/>
  <c r="K150" i="5"/>
  <c r="J150" i="5"/>
  <c r="K149" i="5"/>
  <c r="J149" i="5"/>
  <c r="K148" i="5"/>
  <c r="J148" i="5"/>
  <c r="K147" i="5"/>
  <c r="J147" i="5"/>
  <c r="K146" i="5"/>
  <c r="J146" i="5"/>
  <c r="K145" i="5"/>
  <c r="J145" i="5"/>
  <c r="K144" i="5"/>
  <c r="J144" i="5"/>
  <c r="K143" i="5"/>
  <c r="J143" i="5"/>
  <c r="K142" i="5"/>
  <c r="J142" i="5"/>
  <c r="K141" i="5"/>
  <c r="J141" i="5"/>
  <c r="K140" i="5"/>
  <c r="J140" i="5"/>
  <c r="K139" i="5"/>
  <c r="J139" i="5"/>
  <c r="K138" i="5"/>
  <c r="J138" i="5"/>
  <c r="K137" i="5"/>
  <c r="J137" i="5"/>
  <c r="K136" i="5"/>
  <c r="J136" i="5"/>
  <c r="K135" i="5"/>
  <c r="J135" i="5"/>
  <c r="K134" i="5"/>
  <c r="J134" i="5"/>
  <c r="K133" i="5"/>
  <c r="J133" i="5"/>
  <c r="K132" i="5"/>
  <c r="J132" i="5"/>
  <c r="K131" i="5"/>
  <c r="J131" i="5"/>
  <c r="K130" i="5"/>
  <c r="J130" i="5"/>
  <c r="K129" i="5"/>
  <c r="J129" i="5"/>
  <c r="K128" i="5"/>
  <c r="J128" i="5"/>
  <c r="K127" i="5"/>
  <c r="J127" i="5"/>
  <c r="K126" i="5"/>
  <c r="J126" i="5"/>
  <c r="K125" i="5"/>
  <c r="J125" i="5"/>
  <c r="K124" i="5"/>
  <c r="J124" i="5"/>
  <c r="K123" i="5"/>
  <c r="J123" i="5"/>
  <c r="K122" i="5"/>
  <c r="J122" i="5"/>
  <c r="K121" i="5"/>
  <c r="J121" i="5"/>
  <c r="K120" i="5"/>
  <c r="J120" i="5"/>
  <c r="K119" i="5"/>
  <c r="J119" i="5"/>
  <c r="K118" i="5"/>
  <c r="J118" i="5"/>
  <c r="K117" i="5"/>
  <c r="J117" i="5"/>
  <c r="K116" i="5"/>
  <c r="J116" i="5"/>
  <c r="K115" i="5"/>
  <c r="J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J428" i="5"/>
  <c r="K341" i="4"/>
  <c r="K343" i="4"/>
  <c r="K376" i="3"/>
  <c r="L376" i="3"/>
  <c r="F376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2" i="4"/>
  <c r="J369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2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376" i="3"/>
  <c r="C440" i="2"/>
  <c r="C439" i="2"/>
  <c r="I434" i="2"/>
  <c r="I435" i="2"/>
  <c r="I436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09" i="2"/>
  <c r="I410" i="2"/>
  <c r="I411" i="2"/>
  <c r="I412" i="2"/>
  <c r="I413" i="2"/>
  <c r="I414" i="2"/>
  <c r="I415" i="2"/>
  <c r="I416" i="2"/>
  <c r="I417" i="2"/>
  <c r="I418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222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44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2" i="2"/>
  <c r="I437" i="2"/>
</calcChain>
</file>

<file path=xl/sharedStrings.xml><?xml version="1.0" encoding="utf-8"?>
<sst xmlns="http://schemas.openxmlformats.org/spreadsheetml/2006/main" count="5472" uniqueCount="1004">
  <si>
    <t>Дата</t>
  </si>
  <si>
    <t>Бригадир</t>
  </si>
  <si>
    <t>БМ</t>
  </si>
  <si>
    <t>№ замовлення</t>
  </si>
  <si>
    <t>Номенклатура готової продукції</t>
  </si>
  <si>
    <t>Кількість в упаковці, шт</t>
  </si>
  <si>
    <t>Кількість повних упаковок, шт</t>
  </si>
  <si>
    <t>Залишок +1уп. шт.</t>
  </si>
  <si>
    <t>Загальна кількість готових пакетів, шт</t>
  </si>
  <si>
    <t>Брак БМ</t>
  </si>
  <si>
    <t>Брак ФЛ</t>
  </si>
  <si>
    <t>Брак Екс</t>
  </si>
  <si>
    <t>Вир.</t>
  </si>
  <si>
    <t>Примітка</t>
  </si>
  <si>
    <t>Сазін</t>
  </si>
  <si>
    <t>БМ1</t>
  </si>
  <si>
    <t>700(2x200)1112x19</t>
  </si>
  <si>
    <t>500х980х50</t>
  </si>
  <si>
    <t>450х730х40</t>
  </si>
  <si>
    <t>400х800</t>
  </si>
  <si>
    <t>БМ2</t>
  </si>
  <si>
    <t>300(2x50)480</t>
  </si>
  <si>
    <t>150(2х40)458</t>
  </si>
  <si>
    <t>лука</t>
  </si>
  <si>
    <t>ГМ900</t>
  </si>
  <si>
    <t>140x520x8</t>
  </si>
  <si>
    <t>140х580х9</t>
  </si>
  <si>
    <t>ГМ1100</t>
  </si>
  <si>
    <t>220x430x17</t>
  </si>
  <si>
    <t>хлеб без печати 10000отгрузили</t>
  </si>
  <si>
    <t>230х300х17</t>
  </si>
  <si>
    <t>хлеб без печати</t>
  </si>
  <si>
    <t>1000х600х48</t>
  </si>
  <si>
    <t>МС</t>
  </si>
  <si>
    <t>450(2х100)750</t>
  </si>
  <si>
    <t>360(2x70)600</t>
  </si>
  <si>
    <t>300(2х70)500</t>
  </si>
  <si>
    <t>РП</t>
  </si>
  <si>
    <t>1060x1420x35</t>
  </si>
  <si>
    <t>рп</t>
  </si>
  <si>
    <t>Мороз</t>
  </si>
  <si>
    <t>400*800*45</t>
  </si>
  <si>
    <t>500*600*20</t>
  </si>
  <si>
    <t>400(2*100)*300*8</t>
  </si>
  <si>
    <t>150(2*40)*458*22</t>
  </si>
  <si>
    <t>лука, отгрузили 4000</t>
  </si>
  <si>
    <t>1000*600*48</t>
  </si>
  <si>
    <t>400*450*20</t>
  </si>
  <si>
    <t>210*450*20</t>
  </si>
  <si>
    <t>140*580*9</t>
  </si>
  <si>
    <t>594*500(100)*59</t>
  </si>
  <si>
    <t>350(2*100)*300*10</t>
  </si>
  <si>
    <t>560(2*130)*550*17</t>
  </si>
  <si>
    <t>820(2(120)*1420*38</t>
  </si>
  <si>
    <t>Петрушенко</t>
  </si>
  <si>
    <t>ЛУКА</t>
  </si>
  <si>
    <t>МС600</t>
  </si>
  <si>
    <t>350(2*75)*590*23</t>
  </si>
  <si>
    <t>400(2*90)*590*42</t>
  </si>
  <si>
    <t>520(2*110)*590*25</t>
  </si>
  <si>
    <t>460(2*130)*640*13</t>
  </si>
  <si>
    <t>220*320(50)*30</t>
  </si>
  <si>
    <t>п.п</t>
  </si>
  <si>
    <t>200*300*45</t>
  </si>
  <si>
    <t>220*430*17</t>
  </si>
  <si>
    <t>110(2*40)*450*21</t>
  </si>
  <si>
    <t>250(2*70)*450*42</t>
  </si>
  <si>
    <t>1000*700*8</t>
  </si>
  <si>
    <t>820(2*120)*1420*35</t>
  </si>
  <si>
    <t>ТК1355</t>
  </si>
  <si>
    <t>350*350*60</t>
  </si>
  <si>
    <t>450*750*15</t>
  </si>
  <si>
    <t>450*300*15</t>
  </si>
  <si>
    <t>460*750*10</t>
  </si>
  <si>
    <t>банан син.</t>
  </si>
  <si>
    <t>лука 16000 отгрузили</t>
  </si>
  <si>
    <t>480(2*100)*780*17</t>
  </si>
  <si>
    <t>бел</t>
  </si>
  <si>
    <t>350*300*30</t>
  </si>
  <si>
    <t>ТК103</t>
  </si>
  <si>
    <t>хлеб</t>
  </si>
  <si>
    <t>270(2*70)*500*45</t>
  </si>
  <si>
    <t>220*430*17 клапан 50</t>
  </si>
  <si>
    <t>350*300*25</t>
  </si>
  <si>
    <t>СРР перфорация</t>
  </si>
  <si>
    <t>300*340*20</t>
  </si>
  <si>
    <t>"гуляет" печать</t>
  </si>
  <si>
    <t>МS</t>
  </si>
  <si>
    <t>300(2*70)*500*44(50)</t>
  </si>
  <si>
    <t>MS</t>
  </si>
  <si>
    <t>280(2*70)*460</t>
  </si>
  <si>
    <t>460*750*9(10)</t>
  </si>
  <si>
    <t>ВРБ</t>
  </si>
  <si>
    <t>740*700*26</t>
  </si>
  <si>
    <t>700(2*200)*1100*18</t>
  </si>
  <si>
    <t>800(2*150)*2100*12</t>
  </si>
  <si>
    <t>Шарики, 32 отверстия</t>
  </si>
  <si>
    <t>820(2*120)*1420</t>
  </si>
  <si>
    <t>230*300*17</t>
  </si>
  <si>
    <t>280(2*70)*460*45</t>
  </si>
  <si>
    <t>400(2*90)*590*45</t>
  </si>
  <si>
    <t>300*400*48</t>
  </si>
  <si>
    <t>650*850*48</t>
  </si>
  <si>
    <t>300(2*70)*500*44</t>
  </si>
  <si>
    <t>470*750*8</t>
  </si>
  <si>
    <t>440(2*100)*600*20</t>
  </si>
  <si>
    <t>700(2*50)*1200*35</t>
  </si>
  <si>
    <t>300(2*60)*504*45</t>
  </si>
  <si>
    <t>270*504*45</t>
  </si>
  <si>
    <t>банан ТК529</t>
  </si>
  <si>
    <t>800(2*150)*1550*12</t>
  </si>
  <si>
    <t>400(2*100)*500*14</t>
  </si>
  <si>
    <t>252*360*60</t>
  </si>
  <si>
    <t>сейф пакет ТК826</t>
  </si>
  <si>
    <t>хлеб клипса</t>
  </si>
  <si>
    <t>400(2*90)*580*35</t>
  </si>
  <si>
    <t>майка без печати</t>
  </si>
  <si>
    <t>380(2*90)*500*32</t>
  </si>
  <si>
    <t>ТК1208</t>
  </si>
  <si>
    <t>280(2*70)*504*54</t>
  </si>
  <si>
    <t>150*250*42</t>
  </si>
  <si>
    <t>ГМ100</t>
  </si>
  <si>
    <t>кліпса</t>
  </si>
  <si>
    <t>400(2*100)*500</t>
  </si>
  <si>
    <t>банан</t>
  </si>
  <si>
    <t>"водолей", відвантажили 3500</t>
  </si>
  <si>
    <t>820(2*120)*1420*38</t>
  </si>
  <si>
    <t>370*700*65</t>
  </si>
  <si>
    <t>400(2*100)*500*13</t>
  </si>
  <si>
    <t>400*500(35)50</t>
  </si>
  <si>
    <t>330(2*80)*500</t>
  </si>
  <si>
    <t>290(2*70)*500*37</t>
  </si>
  <si>
    <t>440*680*45</t>
  </si>
  <si>
    <t>460*700*85</t>
  </si>
  <si>
    <t>700*950*35</t>
  </si>
  <si>
    <t>700*700*30</t>
  </si>
  <si>
    <t>800*1200*30</t>
  </si>
  <si>
    <t>610(2*220)*1100*13</t>
  </si>
  <si>
    <t>250*400*22</t>
  </si>
  <si>
    <t>230*460*11</t>
  </si>
  <si>
    <t>360(2*80)*600*27</t>
  </si>
  <si>
    <t>400(2*90)*600*30</t>
  </si>
  <si>
    <t>360(2*90)*600*42</t>
  </si>
  <si>
    <t>600(2*220)*1500*10</t>
  </si>
  <si>
    <t>водолей тк350</t>
  </si>
  <si>
    <t>600*600*30</t>
  </si>
  <si>
    <t>680(2*110)*800*40</t>
  </si>
  <si>
    <t>шарики без перфорации</t>
  </si>
  <si>
    <t>перфорация тк1152</t>
  </si>
  <si>
    <t>перфорация</t>
  </si>
  <si>
    <t>200*550*22</t>
  </si>
  <si>
    <t>265*800*20</t>
  </si>
  <si>
    <t>ПАЛОЧКИ тк1160</t>
  </si>
  <si>
    <t>брак флекси 1рулон 51кг</t>
  </si>
  <si>
    <t>450(2*100)*700*42</t>
  </si>
  <si>
    <t>300(2*70)*556</t>
  </si>
  <si>
    <t>265*800*19(20)</t>
  </si>
  <si>
    <t>отгрузили 22000</t>
  </si>
  <si>
    <t>680(2*110)*800*35</t>
  </si>
  <si>
    <t>600*600*24</t>
  </si>
  <si>
    <t>300(2*70)*556*42</t>
  </si>
  <si>
    <t>350(2*70)*500*43</t>
  </si>
  <si>
    <t>400(2*150)*1000*70</t>
  </si>
  <si>
    <t>Водолей</t>
  </si>
  <si>
    <t>550*750*9</t>
  </si>
  <si>
    <t>460*600*18</t>
  </si>
  <si>
    <t>отгрузили 25200</t>
  </si>
  <si>
    <t>550*1110*26(30)</t>
  </si>
  <si>
    <t>500*1030*26(30)</t>
  </si>
  <si>
    <t>500*1030*26</t>
  </si>
  <si>
    <t>265*800*19</t>
  </si>
  <si>
    <t>230*560*11</t>
  </si>
  <si>
    <t>450*750*12</t>
  </si>
  <si>
    <t>300*400*50</t>
  </si>
  <si>
    <t>590*510(50)*50</t>
  </si>
  <si>
    <t>600*1000*10</t>
  </si>
  <si>
    <t>460*750*8</t>
  </si>
  <si>
    <t>700*800*50</t>
  </si>
  <si>
    <t>590*510(50)50</t>
  </si>
  <si>
    <t>570*150*47</t>
  </si>
  <si>
    <t>650*900*17</t>
  </si>
  <si>
    <t>300(2*70)*500*</t>
  </si>
  <si>
    <t>460*700</t>
  </si>
  <si>
    <t>отгруз. 3650шт.</t>
  </si>
  <si>
    <t>180(2*40)450</t>
  </si>
  <si>
    <t>лука отгруз. 5500шт.</t>
  </si>
  <si>
    <t>1400*1700</t>
  </si>
  <si>
    <t>360*550*33</t>
  </si>
  <si>
    <t>перф. син.</t>
  </si>
  <si>
    <t>300(2*70)*500</t>
  </si>
  <si>
    <t>отгруз. 5500шт.</t>
  </si>
  <si>
    <t>отгруз. 4250шт.</t>
  </si>
  <si>
    <t>245*370(50)*25</t>
  </si>
  <si>
    <t>МS600</t>
  </si>
  <si>
    <t>145*510*8</t>
  </si>
  <si>
    <t>410*850*39</t>
  </si>
  <si>
    <t>MS600</t>
  </si>
  <si>
    <t>340(2*75)*500</t>
  </si>
  <si>
    <t>520*500*16</t>
  </si>
  <si>
    <t>350(2*80)*500*19</t>
  </si>
  <si>
    <t>460*750*10(12)</t>
  </si>
  <si>
    <t>БАНАН</t>
  </si>
  <si>
    <t>340(2*75)*500*43</t>
  </si>
  <si>
    <t>450(2*160)*700*46</t>
  </si>
  <si>
    <t>330(2*70)*500*47</t>
  </si>
  <si>
    <t>430(2*110)*680*46</t>
  </si>
  <si>
    <t>350*460*110</t>
  </si>
  <si>
    <t>411*500(30)*43</t>
  </si>
  <si>
    <t>800(2*150)*1450*36</t>
  </si>
  <si>
    <t>700*80050</t>
  </si>
  <si>
    <t>410*850</t>
  </si>
  <si>
    <t>445*690*77</t>
  </si>
  <si>
    <t>600*750*18</t>
  </si>
  <si>
    <t>2900 Отгруз. + 2850 за 12.12.25</t>
  </si>
  <si>
    <t>800(2*175)*1500*36</t>
  </si>
  <si>
    <t>180(2*40)*458</t>
  </si>
  <si>
    <t>13000 Отгруз. + 8000 за 12.12.25</t>
  </si>
  <si>
    <t>150*220*50</t>
  </si>
  <si>
    <t>200*250*29</t>
  </si>
  <si>
    <t>400*500*25(40)</t>
  </si>
  <si>
    <t>150*580*20</t>
  </si>
  <si>
    <t>280*300*15</t>
  </si>
  <si>
    <t>411*500(30)</t>
  </si>
  <si>
    <t>900(2*105)*1700*35</t>
  </si>
  <si>
    <t>900(2*105)*1450*35</t>
  </si>
  <si>
    <t>180(2*40)*458*22</t>
  </si>
  <si>
    <t>500*700*14</t>
  </si>
  <si>
    <t>500*800*27</t>
  </si>
  <si>
    <t>Сазін/Мороз</t>
  </si>
  <si>
    <t>600*1500*47</t>
  </si>
  <si>
    <t>600*600*60</t>
  </si>
  <si>
    <t>РЕЗАН. ПОЛУРУКАВ. БЕЗ ШВА</t>
  </si>
  <si>
    <t>290(2*90)*770*25</t>
  </si>
  <si>
    <t>500*550*14</t>
  </si>
  <si>
    <t>450*650*24</t>
  </si>
  <si>
    <t>220*420*23</t>
  </si>
  <si>
    <t>поліпропілен, відвантажили 24000</t>
  </si>
  <si>
    <t>250*250*25</t>
  </si>
  <si>
    <t>поліпропілен</t>
  </si>
  <si>
    <t>250(2*65)*456</t>
  </si>
  <si>
    <t>300(2*75)*505*34</t>
  </si>
  <si>
    <t>420(2*85)*590*37</t>
  </si>
  <si>
    <t>490*370*14</t>
  </si>
  <si>
    <t>400(2*100)*600*25</t>
  </si>
  <si>
    <t>300*1110*27</t>
  </si>
  <si>
    <t>тк 708</t>
  </si>
  <si>
    <t>750*850*8</t>
  </si>
  <si>
    <t>600*600*25</t>
  </si>
  <si>
    <t>300*270*35</t>
  </si>
  <si>
    <t>150(2*40)*500*65</t>
  </si>
  <si>
    <t>420*750*20</t>
  </si>
  <si>
    <t>480*750*8</t>
  </si>
  <si>
    <t>504*550(30)</t>
  </si>
  <si>
    <t>150*650*8</t>
  </si>
  <si>
    <t>200*300*24</t>
  </si>
  <si>
    <t>300*450*24</t>
  </si>
  <si>
    <t>270(2*70)*504*17</t>
  </si>
  <si>
    <t>300(2*60)*500*19</t>
  </si>
  <si>
    <t>140*550*8</t>
  </si>
  <si>
    <t>отгрузили 20000</t>
  </si>
  <si>
    <t>350(2*60)*700*115</t>
  </si>
  <si>
    <t>300*270*46</t>
  </si>
  <si>
    <t>380(2*90)*590*40</t>
  </si>
  <si>
    <t>350(2*80)*500*47</t>
  </si>
  <si>
    <t>470*300*8</t>
  </si>
  <si>
    <t>510*800*24</t>
  </si>
  <si>
    <t>500*1000*15</t>
  </si>
  <si>
    <t>250*300*45</t>
  </si>
  <si>
    <t>260(2*50)*500*45</t>
  </si>
  <si>
    <t>отгруз.</t>
  </si>
  <si>
    <t>400(2*100)*590*40</t>
  </si>
  <si>
    <t>260(2*50)*411*13</t>
  </si>
  <si>
    <t>мS</t>
  </si>
  <si>
    <t>300(2*70)*504*48</t>
  </si>
  <si>
    <t>Салфетка 1060*1420*35</t>
  </si>
  <si>
    <t>440*750*45</t>
  </si>
  <si>
    <t>315*560*55</t>
  </si>
  <si>
    <t>8000 отгруз.</t>
  </si>
  <si>
    <t>420*470*80</t>
  </si>
  <si>
    <t>350*504*55</t>
  </si>
  <si>
    <t>350(2*90)*600*20</t>
  </si>
  <si>
    <t>370*700*55</t>
  </si>
  <si>
    <t>220(2*85)*165*15</t>
  </si>
  <si>
    <t>300*400</t>
  </si>
  <si>
    <t>1150*900*10</t>
  </si>
  <si>
    <t>1600 отгруз.</t>
  </si>
  <si>
    <t>330(2*80)*590*43</t>
  </si>
  <si>
    <t>300*400*40</t>
  </si>
  <si>
    <t>356*420</t>
  </si>
  <si>
    <t>Пітта</t>
  </si>
  <si>
    <t>200*250829</t>
  </si>
  <si>
    <t>400*550*39(30)</t>
  </si>
  <si>
    <t>170*175*31</t>
  </si>
  <si>
    <t>500(2*100)*600*13</t>
  </si>
  <si>
    <t>550*1020*42</t>
  </si>
  <si>
    <t>300(2*70)*500*35</t>
  </si>
  <si>
    <t>400(2*90)*600</t>
  </si>
  <si>
    <t>530*430*18</t>
  </si>
  <si>
    <t>370(2*100)590*45</t>
  </si>
  <si>
    <t>300(2*70)500*44</t>
  </si>
  <si>
    <t>300(2*70)556*25</t>
  </si>
  <si>
    <t>380(2*80)*590*37</t>
  </si>
  <si>
    <t>600*400*60</t>
  </si>
  <si>
    <t>250(2*60)*458*14</t>
  </si>
  <si>
    <t>420*580*55</t>
  </si>
  <si>
    <t>660*1100*53</t>
  </si>
  <si>
    <t>240*500*55</t>
  </si>
  <si>
    <t>260*460(40)</t>
  </si>
  <si>
    <t>600*800*50</t>
  </si>
  <si>
    <t>145(2*40)*458*10</t>
  </si>
  <si>
    <t>6000 ОТГРУЗ.</t>
  </si>
  <si>
    <t>540(2*55)*880*33</t>
  </si>
  <si>
    <t>7000 ОТГРУЗ.</t>
  </si>
  <si>
    <t>165*250*20</t>
  </si>
  <si>
    <t>356*420*20</t>
  </si>
  <si>
    <t>350(2*80)*590</t>
  </si>
  <si>
    <t>МАЙКА БЕЗ ПЕЧАТИ</t>
  </si>
  <si>
    <t>560*1060*27</t>
  </si>
  <si>
    <t>600(2*200)*535*9</t>
  </si>
  <si>
    <t>450*500*17</t>
  </si>
  <si>
    <t>140(2*40)*450*10</t>
  </si>
  <si>
    <t>350(2*80)*590*31</t>
  </si>
  <si>
    <t>370(2*85)*590*44</t>
  </si>
  <si>
    <t>340(2*80)*500*39</t>
  </si>
  <si>
    <t>370(2*80)*600*42</t>
  </si>
  <si>
    <t>100*110*65</t>
  </si>
  <si>
    <t>150*150*45(50)</t>
  </si>
  <si>
    <t>280*500*35</t>
  </si>
  <si>
    <t>400*550*30</t>
  </si>
  <si>
    <t>150*150*45</t>
  </si>
  <si>
    <t>450(2*100)*700*45</t>
  </si>
  <si>
    <t>560*480(40)*50</t>
  </si>
  <si>
    <t>400*550*45</t>
  </si>
  <si>
    <t>400*500(35)*50</t>
  </si>
  <si>
    <t>200*300*50</t>
  </si>
  <si>
    <t>190(2*80)*550*40</t>
  </si>
  <si>
    <t>1000(2*175)*780*40</t>
  </si>
  <si>
    <t>1000(2*175)*600*40</t>
  </si>
  <si>
    <t>550*550*14</t>
  </si>
  <si>
    <t>300*400(30)*50</t>
  </si>
  <si>
    <t>350*430(35)*50</t>
  </si>
  <si>
    <t>440(2*80)*556*37</t>
  </si>
  <si>
    <t>300(2*70)*500*18</t>
  </si>
  <si>
    <t>500*750*47</t>
  </si>
  <si>
    <t>450*650*18</t>
  </si>
  <si>
    <t>252*360*23</t>
  </si>
  <si>
    <t>330(2*70)*750*125</t>
  </si>
  <si>
    <t>330(2*70)*800*125</t>
  </si>
  <si>
    <t>380(2*90)*800*25</t>
  </si>
  <si>
    <t>470(2*100)*680*10</t>
  </si>
  <si>
    <t>450*570*14</t>
  </si>
  <si>
    <t>205*300*43</t>
  </si>
  <si>
    <t>411*500</t>
  </si>
  <si>
    <t>187*560*23</t>
  </si>
  <si>
    <t>без печати</t>
  </si>
  <si>
    <t>300(2*70)*506</t>
  </si>
  <si>
    <t>330(2*70)*500</t>
  </si>
  <si>
    <t>411*500*43</t>
  </si>
  <si>
    <t>320*420*20</t>
  </si>
  <si>
    <t>400*580*20</t>
  </si>
  <si>
    <t>330*(2*70)*800*125</t>
  </si>
  <si>
    <t>відвантажили</t>
  </si>
  <si>
    <t>300(2*80)*504</t>
  </si>
  <si>
    <t>500*980*44(50)</t>
  </si>
  <si>
    <t>2500 ширина +1см!!!</t>
  </si>
  <si>
    <t>280(2*70)*500*40</t>
  </si>
  <si>
    <t>370(2*70)*590*42</t>
  </si>
  <si>
    <t>300*400(30)*43</t>
  </si>
  <si>
    <t>460*740*11</t>
  </si>
  <si>
    <t>300(2*70)*504*30</t>
  </si>
  <si>
    <t>380(2*70)*590*37</t>
  </si>
  <si>
    <t>950*1400*60</t>
  </si>
  <si>
    <t>600(2*200)*550*10</t>
  </si>
  <si>
    <t>600(2*220)*2050*10</t>
  </si>
  <si>
    <t>220(2*85)*230*15</t>
  </si>
  <si>
    <t>168*530*23</t>
  </si>
  <si>
    <t>160*400*23</t>
  </si>
  <si>
    <t>200*200*65</t>
  </si>
  <si>
    <t>460*700*95</t>
  </si>
  <si>
    <t>100*100*65</t>
  </si>
  <si>
    <t>230*500*20</t>
  </si>
  <si>
    <t>300(2*70)*458*40</t>
  </si>
  <si>
    <t>460(2*90)*590*40</t>
  </si>
  <si>
    <t>280(2*70)*504*45</t>
  </si>
  <si>
    <t>270(2*70)*500*46</t>
  </si>
  <si>
    <t>230*320*20</t>
  </si>
  <si>
    <t>100*160*31</t>
  </si>
  <si>
    <t>495*980*23</t>
  </si>
  <si>
    <t>230*250*25</t>
  </si>
  <si>
    <t>8000 отгруз</t>
  </si>
  <si>
    <t>590(2*245)*910*18</t>
  </si>
  <si>
    <t>Вага бобін</t>
  </si>
  <si>
    <t>Брак у %</t>
  </si>
  <si>
    <t>450*840*17</t>
  </si>
  <si>
    <t>400*500(70)*55</t>
  </si>
  <si>
    <t>252*440*12</t>
  </si>
  <si>
    <t>250*260*19</t>
  </si>
  <si>
    <t>200*450*23</t>
  </si>
  <si>
    <t>430(2*110)*680</t>
  </si>
  <si>
    <t>270*265*18</t>
  </si>
  <si>
    <t>700*750*23</t>
  </si>
  <si>
    <t>410*700*123</t>
  </si>
  <si>
    <t>360(2*80)*570*45</t>
  </si>
  <si>
    <t>110(2*40)*450*22</t>
  </si>
  <si>
    <t>300(2*70)*556*45</t>
  </si>
  <si>
    <t>330(2*90)*504*24</t>
  </si>
  <si>
    <t>170*278*30</t>
  </si>
  <si>
    <t>356*350*10</t>
  </si>
  <si>
    <t>400*400*13</t>
  </si>
  <si>
    <t>165*400</t>
  </si>
  <si>
    <t>400*400*50</t>
  </si>
  <si>
    <t>540*1110*26(30)</t>
  </si>
  <si>
    <t>590(2*245)*910*11(12)</t>
  </si>
  <si>
    <t>300(2*70)*504*31</t>
  </si>
  <si>
    <t>370(2*80)*590*31</t>
  </si>
  <si>
    <t>300(2*80)*500*45</t>
  </si>
  <si>
    <t>380(2*90)*600*46</t>
  </si>
  <si>
    <t>1400*1700*68</t>
  </si>
  <si>
    <t>400(2*80)*590*45</t>
  </si>
  <si>
    <t>330(2*90)*450*45</t>
  </si>
  <si>
    <t>290(2*70)*500*25</t>
  </si>
  <si>
    <t>1050*600*10</t>
  </si>
  <si>
    <t>320(2*80)*550*45</t>
  </si>
  <si>
    <t>Сазин</t>
  </si>
  <si>
    <t>290*590*64</t>
  </si>
  <si>
    <t>270*504*64</t>
  </si>
  <si>
    <t>1000*600*10</t>
  </si>
  <si>
    <t>200*300(35)*39</t>
  </si>
  <si>
    <t>300(2*70)*500*42</t>
  </si>
  <si>
    <t>590(2*245)*910*12</t>
  </si>
  <si>
    <t>400(2*150)*1000*67</t>
  </si>
  <si>
    <t>320(2*90)*750*25</t>
  </si>
  <si>
    <t>300(2*50)*480*37</t>
  </si>
  <si>
    <t>350(2*85)*504*39</t>
  </si>
  <si>
    <t>400(2*90)*600*47</t>
  </si>
  <si>
    <t>270*360*8</t>
  </si>
  <si>
    <t>380(2*85)*590*45</t>
  </si>
  <si>
    <t>280(2*70)*504*47</t>
  </si>
  <si>
    <t>510*800</t>
  </si>
  <si>
    <t>230(2*40)*410*22</t>
  </si>
  <si>
    <t>Зроблено більше 2 тонн.</t>
  </si>
  <si>
    <t>360*440*43</t>
  </si>
  <si>
    <t>340(2*70)*500*24</t>
  </si>
  <si>
    <t>340(2*80)*500*45</t>
  </si>
  <si>
    <t>250(2*65)*450</t>
  </si>
  <si>
    <t>270*200*18</t>
  </si>
  <si>
    <t>590(2*245)*910*17(18)</t>
  </si>
  <si>
    <t>560*450*18</t>
  </si>
  <si>
    <t>250(2*65)*450*43</t>
  </si>
  <si>
    <t>1(3230)</t>
  </si>
  <si>
    <t>280(2*60)*450*45</t>
  </si>
  <si>
    <t>300(2*80)*450*40</t>
  </si>
  <si>
    <t>450*750*8</t>
  </si>
  <si>
    <t>290*356*30</t>
  </si>
  <si>
    <t>410*400(35)*60</t>
  </si>
  <si>
    <t>500(2*100)*450*9</t>
  </si>
  <si>
    <t>300(2*70)*500*19</t>
  </si>
  <si>
    <t>500(2*100)*450*10</t>
  </si>
  <si>
    <t>1020*600*45</t>
  </si>
  <si>
    <t>1020*600*37</t>
  </si>
  <si>
    <t>250*350*8</t>
  </si>
  <si>
    <t>330*800*40</t>
  </si>
  <si>
    <t>300*400(35)*57</t>
  </si>
  <si>
    <t>400*500(40)*45</t>
  </si>
  <si>
    <t>165*550*8</t>
  </si>
  <si>
    <t>400*500(30)*65</t>
  </si>
  <si>
    <t>250*350*45, клапан40</t>
  </si>
  <si>
    <t>700(2*200)*600*17</t>
  </si>
  <si>
    <t>300*350*26</t>
  </si>
  <si>
    <t>разнотолщинность!!</t>
  </si>
  <si>
    <t>340(2*70)*500*25</t>
  </si>
  <si>
    <t>300*450*67</t>
  </si>
  <si>
    <t>500*500*88</t>
  </si>
  <si>
    <t>720(2*200)*1150*25</t>
  </si>
  <si>
    <t>300(2*80)*550*43</t>
  </si>
  <si>
    <t>400(2*90)*600*38</t>
  </si>
  <si>
    <t>500*890*25</t>
  </si>
  <si>
    <t>700(2*250)*650*14</t>
  </si>
  <si>
    <t>320*350(30)*65</t>
  </si>
  <si>
    <t>450*730*36</t>
  </si>
  <si>
    <t>500*700*42</t>
  </si>
  <si>
    <t>330*350(30)</t>
  </si>
  <si>
    <t>278*350*17</t>
  </si>
  <si>
    <t>140*520*8</t>
  </si>
  <si>
    <t>370(2*80)*556*23</t>
  </si>
  <si>
    <t>240(2*60)*410*38</t>
  </si>
  <si>
    <t>445*690</t>
  </si>
  <si>
    <t>430(2*90)*830*26</t>
  </si>
  <si>
    <t>470*370*39</t>
  </si>
  <si>
    <t>180(2*40)*460*9</t>
  </si>
  <si>
    <t>300(2*80)*560*25</t>
  </si>
  <si>
    <t>500(2*100)*700*30</t>
  </si>
  <si>
    <t>300(2*80)*560</t>
  </si>
  <si>
    <t>430(2*90)*590*18</t>
  </si>
  <si>
    <t>430(2*90)*580*18</t>
  </si>
  <si>
    <t>300(2*60)*500*45</t>
  </si>
  <si>
    <t>450*550*59</t>
  </si>
  <si>
    <t>200*250</t>
  </si>
  <si>
    <t>100*650*35</t>
  </si>
  <si>
    <t>500*500*25</t>
  </si>
  <si>
    <t>600*900*25</t>
  </si>
  <si>
    <t>410*370*40</t>
  </si>
  <si>
    <t>120*175*120</t>
  </si>
  <si>
    <t>120*200*120</t>
  </si>
  <si>
    <t>200*500*25</t>
  </si>
  <si>
    <t>300*450*25</t>
  </si>
  <si>
    <t>850*1150*47</t>
  </si>
  <si>
    <t>300(2*75)*500</t>
  </si>
  <si>
    <t>200*300</t>
  </si>
  <si>
    <t>вирубка банана</t>
  </si>
  <si>
    <t>800(2*200)*1100*10</t>
  </si>
  <si>
    <t>280*300</t>
  </si>
  <si>
    <t>300(2*80)*500</t>
  </si>
  <si>
    <t>400(2*75)*590</t>
  </si>
  <si>
    <t>140*500*8</t>
  </si>
  <si>
    <t>400(2*75)*600</t>
  </si>
  <si>
    <t>225(2*60)*360*45</t>
  </si>
  <si>
    <t>300(2*80)*550*38</t>
  </si>
  <si>
    <t>300(2*80)*504*40</t>
  </si>
  <si>
    <t>360(2*100)*400*25</t>
  </si>
  <si>
    <t>530(2*105)*850*26</t>
  </si>
  <si>
    <t>150(2*40)*400*65</t>
  </si>
  <si>
    <t>260(2*50)*370*14</t>
  </si>
  <si>
    <t>650*570*19</t>
  </si>
  <si>
    <t>340(2*80)*556*46</t>
  </si>
  <si>
    <t>300(2*70)*504*45</t>
  </si>
  <si>
    <t>450(2*100)*750*46</t>
  </si>
  <si>
    <t>450*650*19</t>
  </si>
  <si>
    <t>300(2*70)*504*35</t>
  </si>
  <si>
    <t>430*800*44</t>
  </si>
  <si>
    <t>12000 отгруз.</t>
  </si>
  <si>
    <t>530*400*8</t>
  </si>
  <si>
    <t>330*350(30)кл.120</t>
  </si>
  <si>
    <t>260*300*37</t>
  </si>
  <si>
    <t>400(2*100)*550*51</t>
  </si>
  <si>
    <t>260(2*60)*420*37</t>
  </si>
  <si>
    <t>450*700*90</t>
  </si>
  <si>
    <t>615*545*18</t>
  </si>
  <si>
    <t>330(2*90)*770*25</t>
  </si>
  <si>
    <t>330(2*70)*750*130</t>
  </si>
  <si>
    <t>700(2*200)*950*18</t>
  </si>
  <si>
    <t>411*400*58</t>
  </si>
  <si>
    <t>290(2*70)*500*42</t>
  </si>
  <si>
    <t>180(2*40)*356*10</t>
  </si>
  <si>
    <t>120*420*24</t>
  </si>
  <si>
    <t>275*460(50)*82</t>
  </si>
  <si>
    <t>225*400*12</t>
  </si>
  <si>
    <t>140*520*24</t>
  </si>
  <si>
    <t>330(2*60)*700*100</t>
  </si>
  <si>
    <t>500*980*44</t>
  </si>
  <si>
    <t>400*400*25</t>
  </si>
  <si>
    <t>400*600*25</t>
  </si>
  <si>
    <t>700*950*19</t>
  </si>
  <si>
    <t>300*400*10</t>
  </si>
  <si>
    <t>278*350*17(кл 40)</t>
  </si>
  <si>
    <t>390*650*18(20)</t>
  </si>
  <si>
    <t>500(2*100)*680*17</t>
  </si>
  <si>
    <t>450*730*36(40)</t>
  </si>
  <si>
    <t>700*950*19(25)</t>
  </si>
  <si>
    <t>760(2*250)*2000*20</t>
  </si>
  <si>
    <t>400(2*100)*500*13(14)</t>
  </si>
  <si>
    <t>500*900*19</t>
  </si>
  <si>
    <t>120*200*50</t>
  </si>
  <si>
    <t>500(2*100)*600*10</t>
  </si>
  <si>
    <t>200*200*30</t>
  </si>
  <si>
    <t>460(2*150)*500*14</t>
  </si>
  <si>
    <t>700*600*20</t>
  </si>
  <si>
    <t>950*1300*9</t>
  </si>
  <si>
    <t>210*330*43</t>
  </si>
  <si>
    <t>300*400*8</t>
  </si>
  <si>
    <t>1030*630*10</t>
  </si>
  <si>
    <t>470(2*100)*680*13(20)</t>
  </si>
  <si>
    <t>450*560клапан40</t>
  </si>
  <si>
    <t>700*1400*9</t>
  </si>
  <si>
    <t>170*700*8</t>
  </si>
  <si>
    <t>300(2*60)*504*25</t>
  </si>
  <si>
    <t>БОПП</t>
  </si>
  <si>
    <t>450*560</t>
  </si>
  <si>
    <t>550*750*47</t>
  </si>
  <si>
    <t>8,5 КГ НА УПАКОВКУ</t>
  </si>
  <si>
    <t>300(2*70)*500*40</t>
  </si>
  <si>
    <t>380(2*80)*500*45</t>
  </si>
  <si>
    <t>400*650*18</t>
  </si>
  <si>
    <t>300*500**18</t>
  </si>
  <si>
    <t>440(2*100)*700*28</t>
  </si>
  <si>
    <t>350*600*55</t>
  </si>
  <si>
    <t>600*1000*22</t>
  </si>
  <si>
    <t>550*650*47</t>
  </si>
  <si>
    <t>350(2*80)*590*23</t>
  </si>
  <si>
    <t>730(2*170)*1050*35</t>
  </si>
  <si>
    <t>200*300*25</t>
  </si>
  <si>
    <t>200*400*85</t>
  </si>
  <si>
    <t>100*140*65</t>
  </si>
  <si>
    <t>350(2*100)*590*31</t>
  </si>
  <si>
    <t>200*270*15</t>
  </si>
  <si>
    <t>120х300х32</t>
  </si>
  <si>
    <t>120*150*85</t>
  </si>
  <si>
    <t>730(2*170)*1050*35(40)</t>
  </si>
  <si>
    <t>620*900*30</t>
  </si>
  <si>
    <t>300(2*75)*504</t>
  </si>
  <si>
    <t>330(2*75)*500</t>
  </si>
  <si>
    <t>340(2*70)*556</t>
  </si>
  <si>
    <t>740*700*24</t>
  </si>
  <si>
    <t>350(2*80)*500</t>
  </si>
  <si>
    <t>120*300*32</t>
  </si>
  <si>
    <t>180*300*32</t>
  </si>
  <si>
    <t>365(2*90)*820*25</t>
  </si>
  <si>
    <t>440(2*100)*680*45</t>
  </si>
  <si>
    <t>560*390*18</t>
  </si>
  <si>
    <t>640*790*85</t>
  </si>
  <si>
    <t>БОПП 540*360*25</t>
  </si>
  <si>
    <t>460*750*9</t>
  </si>
  <si>
    <t>6000 отгруз</t>
  </si>
  <si>
    <t>5000 отгруз</t>
  </si>
  <si>
    <t>отгруз</t>
  </si>
  <si>
    <t>500(2*100)*700*23</t>
  </si>
  <si>
    <t>280(2*70)*450*41</t>
  </si>
  <si>
    <t>540*360*25БОПП</t>
  </si>
  <si>
    <t>700*800*70</t>
  </si>
  <si>
    <t>850*1050*47</t>
  </si>
  <si>
    <t>450*750*47</t>
  </si>
  <si>
    <t>1020*600*13</t>
  </si>
  <si>
    <t>300(2*70)*500*25</t>
  </si>
  <si>
    <t>700*800</t>
  </si>
  <si>
    <t>400(2*80)*590*30</t>
  </si>
  <si>
    <t>440(2*120)*750*30</t>
  </si>
  <si>
    <t>400(2*80)*600*29</t>
  </si>
  <si>
    <t>300(2*80)*504*22</t>
  </si>
  <si>
    <t>450(2*160)*700*42</t>
  </si>
  <si>
    <t>175*160*25</t>
  </si>
  <si>
    <t>280*700*47</t>
  </si>
  <si>
    <t>252*310*12</t>
  </si>
  <si>
    <t>430(2*110)*700*42</t>
  </si>
  <si>
    <t>540(2*55)*880*32</t>
  </si>
  <si>
    <t>280(2*70)*500*15</t>
  </si>
  <si>
    <t>ЗАЛИПША ПЛІВКА</t>
  </si>
  <si>
    <t>390(2*100)*590*45</t>
  </si>
  <si>
    <t>150*180*11</t>
  </si>
  <si>
    <t>310(2*70)*458*37</t>
  </si>
  <si>
    <t>300(2*70)*504*42</t>
  </si>
  <si>
    <t>400(2*50)*600*22</t>
  </si>
  <si>
    <t>400(2*50)*500*22</t>
  </si>
  <si>
    <t>310*510*49</t>
  </si>
  <si>
    <t>250*350*45</t>
  </si>
  <si>
    <t>68.4</t>
  </si>
  <si>
    <t>9000 отгруз</t>
  </si>
  <si>
    <t>7700 отгруз </t>
  </si>
  <si>
    <t>500*1000*85</t>
  </si>
  <si>
    <t>500*500*85</t>
  </si>
  <si>
    <t>700*1170*17</t>
  </si>
  <si>
    <t>250*300*42</t>
  </si>
  <si>
    <t>1100*650*13</t>
  </si>
  <si>
    <t>390(2*85)*590*44</t>
  </si>
  <si>
    <t>190*430*17</t>
  </si>
  <si>
    <t>600(2*200)*840*18</t>
  </si>
  <si>
    <t>300(2*70)*500*45</t>
  </si>
  <si>
    <t>300*550*53</t>
  </si>
  <si>
    <t>250*300*65</t>
  </si>
  <si>
    <t>500*450(25)*62</t>
  </si>
  <si>
    <t>400*400*65</t>
  </si>
  <si>
    <t>370(2*100)*800*60</t>
  </si>
  <si>
    <t>190*265*27</t>
  </si>
  <si>
    <t>500*600*47</t>
  </si>
  <si>
    <t>520*750*46</t>
  </si>
  <si>
    <t>750*1100*53</t>
  </si>
  <si>
    <t>300(2*80)*450*36</t>
  </si>
  <si>
    <t>570*1200*140</t>
  </si>
  <si>
    <t>350(2*80)*550*35</t>
  </si>
  <si>
    <t>630(2*90)*1200*34</t>
  </si>
  <si>
    <t>350(2*100)*450*17</t>
  </si>
  <si>
    <t>620*990*50</t>
  </si>
  <si>
    <t>620*680*18</t>
  </si>
  <si>
    <t>400*500*14</t>
  </si>
  <si>
    <t>590*560*70</t>
  </si>
  <si>
    <t>380(2*70)*590*23</t>
  </si>
  <si>
    <t>350(2*75)*590</t>
  </si>
  <si>
    <t>500(2*90)*750*45</t>
  </si>
  <si>
    <t>410(2*90)*590*45</t>
  </si>
  <si>
    <t>300(2*70)*504*43</t>
  </si>
  <si>
    <t>700(2*100)*1600*38</t>
  </si>
  <si>
    <t>700(2*100)*1300*33</t>
  </si>
  <si>
    <t>450*580*18</t>
  </si>
  <si>
    <t>650*850*47</t>
  </si>
  <si>
    <t>ширина</t>
  </si>
  <si>
    <t>460*650*47</t>
  </si>
  <si>
    <t>400*500*15</t>
  </si>
  <si>
    <t>380(2*90)*500*</t>
  </si>
  <si>
    <t>270(2*70)*500*43</t>
  </si>
  <si>
    <t>400*580*18</t>
  </si>
  <si>
    <t>500*500*14</t>
  </si>
  <si>
    <t>200*350*40</t>
  </si>
  <si>
    <t>120*180*80</t>
  </si>
  <si>
    <t>530*530*23</t>
  </si>
  <si>
    <t>230(2*60)*530*12</t>
  </si>
  <si>
    <t>180*250*70</t>
  </si>
  <si>
    <t>395*830*56</t>
  </si>
  <si>
    <t>ШИРИНА!!! мінус</t>
  </si>
  <si>
    <t>400*450*22</t>
  </si>
  <si>
    <t>1500*1700*29</t>
  </si>
  <si>
    <t>360*500*33</t>
  </si>
  <si>
    <t>250*300*45 кл 40</t>
  </si>
  <si>
    <t>412*400*55(30)</t>
  </si>
  <si>
    <t>160*270(30)*50</t>
  </si>
  <si>
    <t>390(2*80)*590*43</t>
  </si>
  <si>
    <t>150*160*70</t>
  </si>
  <si>
    <t>10400 отгруз</t>
  </si>
  <si>
    <t>бопп 300*380 кл40</t>
  </si>
  <si>
    <t>290(2*70)*500</t>
  </si>
  <si>
    <t>Петрушенко/Сазин</t>
  </si>
  <si>
    <t>380*650*18</t>
  </si>
  <si>
    <t>170*580*9</t>
  </si>
  <si>
    <t>350(2*80)*556*40</t>
  </si>
  <si>
    <t>370(2*100)*590*45</t>
  </si>
  <si>
    <t>400(2(90)*600*43</t>
  </si>
  <si>
    <t>410*600*20</t>
  </si>
  <si>
    <t>410*660*20</t>
  </si>
  <si>
    <t>500*1100*28</t>
  </si>
  <si>
    <t>330(2*70)*125</t>
  </si>
  <si>
    <t>300*411*51</t>
  </si>
  <si>
    <t>400(2*100)*590*42</t>
  </si>
  <si>
    <t>500*1060*26(30)</t>
  </si>
  <si>
    <t>350*500*58</t>
  </si>
  <si>
    <t>230*320</t>
  </si>
  <si>
    <t>440*500*26</t>
  </si>
  <si>
    <t>500*930*17</t>
  </si>
  <si>
    <t>315*556*55</t>
  </si>
  <si>
    <t>400*600*28</t>
  </si>
  <si>
    <t>350(2*50)*600*28</t>
  </si>
  <si>
    <t>300(2*50)*600*28</t>
  </si>
  <si>
    <t>330(2*105)*265*13</t>
  </si>
  <si>
    <t>185*420*25</t>
  </si>
  <si>
    <t>420(2*120)*325*13</t>
  </si>
  <si>
    <t>400*600*20</t>
  </si>
  <si>
    <t>460*850*20</t>
  </si>
  <si>
    <t>295(2*70)*504*30</t>
  </si>
  <si>
    <t>200*280(30)</t>
  </si>
  <si>
    <t>720*1100*40</t>
  </si>
  <si>
    <t>600*1450</t>
  </si>
  <si>
    <t>520*500</t>
  </si>
  <si>
    <t>252*450*23</t>
  </si>
  <si>
    <t>380(2*50)*800*20</t>
  </si>
  <si>
    <t>200*280</t>
  </si>
  <si>
    <t>370(2*70)*556*40</t>
  </si>
  <si>
    <t>400*700*26</t>
  </si>
  <si>
    <t>400*580*26</t>
  </si>
  <si>
    <t>400(2*75)*590*42</t>
  </si>
  <si>
    <t>200*320(40)</t>
  </si>
  <si>
    <t>700(2*100)*1200*30</t>
  </si>
  <si>
    <t>450*700*14</t>
  </si>
  <si>
    <t>420*500(40)</t>
  </si>
  <si>
    <t>200*280(40)</t>
  </si>
  <si>
    <t>340(2*70)*500</t>
  </si>
  <si>
    <t>300*400*22</t>
  </si>
  <si>
    <t>Мороз/Петрушенко</t>
  </si>
  <si>
    <t>720(2*150)*1100*25</t>
  </si>
  <si>
    <t>720(2*200)*1150*24</t>
  </si>
  <si>
    <t>450*610*59</t>
  </si>
  <si>
    <t>350*450*25</t>
  </si>
  <si>
    <t>350*450(40)*50</t>
  </si>
  <si>
    <t>250*300(40)*50</t>
  </si>
  <si>
    <t>550*760*55</t>
  </si>
  <si>
    <t>340(2*75)*500*42</t>
  </si>
  <si>
    <t>320*900*20</t>
  </si>
  <si>
    <t>200*320(40)*25</t>
  </si>
  <si>
    <t>250*350*50</t>
  </si>
  <si>
    <t>220(2*85)*180*15</t>
  </si>
  <si>
    <t>450*730*40</t>
  </si>
  <si>
    <t>340(2*90)*850*25</t>
  </si>
  <si>
    <t>300*411</t>
  </si>
  <si>
    <t>1000*650*32</t>
  </si>
  <si>
    <t>390*300*30</t>
  </si>
  <si>
    <t>200*410</t>
  </si>
  <si>
    <t>ХМ</t>
  </si>
  <si>
    <t>300*500*18</t>
  </si>
  <si>
    <t>600(2*200)*1000*10</t>
  </si>
  <si>
    <t>390(2*100)*590*25</t>
  </si>
  <si>
    <t>620*780*18</t>
  </si>
  <si>
    <t>500 шт. отгр.</t>
  </si>
  <si>
    <t>1000*600*16</t>
  </si>
  <si>
    <t>410*850*30</t>
  </si>
  <si>
    <t>700*770*23</t>
  </si>
  <si>
    <t>620*1790*50</t>
  </si>
  <si>
    <t>150*260*25</t>
  </si>
  <si>
    <t>420(2*110)*600*40</t>
  </si>
  <si>
    <t>HM800</t>
  </si>
  <si>
    <t>відвантажили 5000</t>
  </si>
  <si>
    <t>120*180*25</t>
  </si>
  <si>
    <t>400(2*100)*590</t>
  </si>
  <si>
    <t>420*580*60</t>
  </si>
  <si>
    <t>180*550*47</t>
  </si>
  <si>
    <t>200*350(40)</t>
  </si>
  <si>
    <t>300(2*75)*556*20</t>
  </si>
  <si>
    <t>400*850*44</t>
  </si>
  <si>
    <t>320*350*42</t>
  </si>
  <si>
    <t>480*760*8</t>
  </si>
  <si>
    <t>190*380*17</t>
  </si>
  <si>
    <t>700(2*200)*600*11</t>
  </si>
  <si>
    <t>420*500*50</t>
  </si>
  <si>
    <t>175*570*30</t>
  </si>
  <si>
    <t>620(2*200)*1030*14</t>
  </si>
  <si>
    <t>520*600*18</t>
  </si>
  <si>
    <t>600*450*43</t>
  </si>
  <si>
    <t>480(2*100)*600*17</t>
  </si>
  <si>
    <t>300*504*48</t>
  </si>
  <si>
    <t>440(2*100)*600*14</t>
  </si>
  <si>
    <t>720(2*200)*1150*22</t>
  </si>
  <si>
    <t>200*300*30</t>
  </si>
  <si>
    <t>600*600*24(25)</t>
  </si>
  <si>
    <t>200*280*25</t>
  </si>
  <si>
    <t>200*250*30</t>
  </si>
  <si>
    <t>411*400(30)*45</t>
  </si>
  <si>
    <t>440(2*80)*700*28</t>
  </si>
  <si>
    <t>400*700*95</t>
  </si>
  <si>
    <t>440(2*100)*700*51</t>
  </si>
  <si>
    <t>375*400*60</t>
  </si>
  <si>
    <t>300*400*45</t>
  </si>
  <si>
    <t>275*350*60</t>
  </si>
  <si>
    <t>340*458*50</t>
  </si>
  <si>
    <t>300(2*70)*450*43</t>
  </si>
  <si>
    <t>400(2*100)*550*45</t>
  </si>
  <si>
    <t>340*420*20</t>
  </si>
  <si>
    <t>310*400*20</t>
  </si>
  <si>
    <t>500(2*100)*400*10</t>
  </si>
  <si>
    <t>400*590*138</t>
  </si>
  <si>
    <t>290*556*118</t>
  </si>
  <si>
    <t>360(2*60)*700*110</t>
  </si>
  <si>
    <t>300*350*25</t>
  </si>
  <si>
    <t>260*340*45</t>
  </si>
  <si>
    <t>4 пака по 1000шт до согласования ширина +25-30 мм</t>
  </si>
  <si>
    <t>300(2*80)*500*19</t>
  </si>
  <si>
    <t>600(2*130)*1200*85</t>
  </si>
  <si>
    <t>300*300*43</t>
  </si>
  <si>
    <t>450*1300*25</t>
  </si>
  <si>
    <t>550*1110*30</t>
  </si>
  <si>
    <t>500*1030*30</t>
  </si>
  <si>
    <t>570(2*70)*580*8</t>
  </si>
  <si>
    <t>278*510(55)*40</t>
  </si>
  <si>
    <t>282*570*30</t>
  </si>
  <si>
    <t>720*1980*50</t>
  </si>
  <si>
    <t>САЛФЕТКА НА РП</t>
  </si>
  <si>
    <t>300*350</t>
  </si>
  <si>
    <t>760(2*210)*1200*42</t>
  </si>
  <si>
    <t>500*840*26(30)</t>
  </si>
  <si>
    <t>бірка 500*840*30</t>
  </si>
  <si>
    <t>300*410*10</t>
  </si>
  <si>
    <t>1000*800*32</t>
  </si>
  <si>
    <t>600*900*22</t>
  </si>
  <si>
    <t>400*550*22</t>
  </si>
  <si>
    <t>760(2*210)*1200842</t>
  </si>
  <si>
    <t>358*450(30)*44</t>
  </si>
  <si>
    <t>504*550(30)*44</t>
  </si>
  <si>
    <t>570*550*17</t>
  </si>
  <si>
    <t>290*350*37</t>
  </si>
  <si>
    <t>270*360*9</t>
  </si>
  <si>
    <t>400*550*38</t>
  </si>
  <si>
    <t>480*660*87</t>
  </si>
  <si>
    <t>600*1000*9</t>
  </si>
  <si>
    <t>ЕВРОСЛОТ</t>
  </si>
  <si>
    <t>800*1150*20</t>
  </si>
  <si>
    <t>300(2*70)*500*30</t>
  </si>
  <si>
    <t>400(2*90)*600*43</t>
  </si>
  <si>
    <t>350*400*46</t>
  </si>
  <si>
    <t>500*550*47(50)</t>
  </si>
  <si>
    <t>450*800*44</t>
  </si>
  <si>
    <t>200*270*43</t>
  </si>
  <si>
    <t>440(2*100)*750*45</t>
  </si>
  <si>
    <t>450(2*80)*750*42</t>
  </si>
  <si>
    <t>450*750*26</t>
  </si>
  <si>
    <t>750*750*20</t>
  </si>
  <si>
    <t>300(2*75)*504*51</t>
  </si>
  <si>
    <t>510*750*45(50)</t>
  </si>
  <si>
    <t>720*1980</t>
  </si>
  <si>
    <t>500*880*35</t>
  </si>
  <si>
    <t>490*370*13</t>
  </si>
  <si>
    <t>411*500*70</t>
  </si>
  <si>
    <t>300*400(40)</t>
  </si>
  <si>
    <t>400*500(30)</t>
  </si>
  <si>
    <t>300(2*70)*504</t>
  </si>
  <si>
    <t>400*500(30)*51</t>
  </si>
  <si>
    <t>300*750*18</t>
  </si>
  <si>
    <t>перфорация 2 отв.</t>
  </si>
  <si>
    <t>660*750*53</t>
  </si>
  <si>
    <t>185*290*25</t>
  </si>
  <si>
    <t>610(2(220)*1500*13</t>
  </si>
  <si>
    <t>100*600*48</t>
  </si>
  <si>
    <t>400*550*(40)*50</t>
  </si>
  <si>
    <t>400*550*50</t>
  </si>
  <si>
    <t>дуже поганий ПФ</t>
  </si>
  <si>
    <t>800(2*150)1450*36</t>
  </si>
  <si>
    <t>500*700*70</t>
  </si>
  <si>
    <t>360(2*60)*600*28</t>
  </si>
  <si>
    <t>450*750*78</t>
  </si>
  <si>
    <t>400*550*55</t>
  </si>
  <si>
    <t>620(2*200)*680*50</t>
  </si>
  <si>
    <t>180(2*40)*460</t>
  </si>
  <si>
    <t>500(2*150)*900*60</t>
  </si>
  <si>
    <t>400(2*80)*600</t>
  </si>
  <si>
    <t>300(2*80)*500*22</t>
  </si>
  <si>
    <t>240(2*60)*400*18</t>
  </si>
  <si>
    <t>300(2*70)*550*40</t>
  </si>
  <si>
    <t>300(2*75)*500*45</t>
  </si>
  <si>
    <t>450(2*100)*650*23</t>
  </si>
  <si>
    <t>250*350*60</t>
  </si>
  <si>
    <t>Крафт, ширина 507 +-3мм</t>
  </si>
  <si>
    <t>400(2*90)*850*20</t>
  </si>
  <si>
    <t>250*320*60</t>
  </si>
  <si>
    <t>810(2*200)*2100*43</t>
  </si>
  <si>
    <t>810(2*140)*2100*43</t>
  </si>
  <si>
    <t>810(2*150)*1550*28</t>
  </si>
  <si>
    <t>300(2*50)*480*36</t>
  </si>
  <si>
    <t>400*850*39</t>
  </si>
  <si>
    <t>590(2*245)*910*11</t>
  </si>
  <si>
    <t>380(2*85)*590</t>
  </si>
  <si>
    <t>280(2*70)*500</t>
  </si>
  <si>
    <t>1000*650*35</t>
  </si>
  <si>
    <t>170*300*30</t>
  </si>
  <si>
    <t>280(2*70)*504*15</t>
  </si>
  <si>
    <t>590(2*245)*910*17</t>
  </si>
  <si>
    <t>600(2*100)*1100*33</t>
  </si>
  <si>
    <t>280(2*60)*456*45</t>
  </si>
  <si>
    <t>700(2*250)650*14</t>
  </si>
  <si>
    <t>240*340*30</t>
  </si>
  <si>
    <t>550*1110*26</t>
  </si>
  <si>
    <t>300(2*70)*504*28</t>
  </si>
  <si>
    <t>355(2*75)*504*27</t>
  </si>
  <si>
    <t>товщина у плюс 50%</t>
  </si>
  <si>
    <t>230*410*9</t>
  </si>
  <si>
    <t>510*800*21</t>
  </si>
  <si>
    <t>525*750*24</t>
  </si>
  <si>
    <t>600*700*37</t>
  </si>
  <si>
    <t>600*900*18</t>
  </si>
  <si>
    <t>180(2*40)*620*9</t>
  </si>
  <si>
    <t>330(2*70)*456*24</t>
  </si>
  <si>
    <t>350(2*80)*600*40</t>
  </si>
  <si>
    <t>270*410*8</t>
  </si>
  <si>
    <t>720(2*200)*1150*21</t>
  </si>
  <si>
    <t>370(2*80)*556*22</t>
  </si>
  <si>
    <t>300*600*11</t>
  </si>
  <si>
    <t>350(2*90)*600</t>
  </si>
  <si>
    <t>280*530*11</t>
  </si>
  <si>
    <t>300*380*22</t>
  </si>
  <si>
    <t>без кліпси</t>
  </si>
  <si>
    <t>300*500*20</t>
  </si>
  <si>
    <t>200*300*43</t>
  </si>
  <si>
    <t>130*150*41</t>
  </si>
  <si>
    <t>340(2*100)*750*20</t>
  </si>
  <si>
    <t>на кліпсі</t>
  </si>
  <si>
    <t>500(2*100)*700*10</t>
  </si>
  <si>
    <t>400(2*80)*600*42</t>
  </si>
  <si>
    <t>430(2*110)*700*46</t>
  </si>
  <si>
    <t>430(2*100)*700*48</t>
  </si>
  <si>
    <t>240*380*13</t>
  </si>
  <si>
    <t>400(2*50)*700*20</t>
  </si>
  <si>
    <t>400(2*50)*500*35</t>
  </si>
  <si>
    <t>350(2*50)*450*19</t>
  </si>
  <si>
    <t>320(2*90)*860*25</t>
  </si>
  <si>
    <t>285*500*36</t>
  </si>
  <si>
    <t>145(2*40)*458</t>
  </si>
  <si>
    <t>600*1000*25</t>
  </si>
  <si>
    <t>440(2*100)*730*20</t>
  </si>
  <si>
    <t>470(2*100)*680*14</t>
  </si>
  <si>
    <t>500(2*100)*400*15</t>
  </si>
  <si>
    <t>470*800*24</t>
  </si>
  <si>
    <t>430(2*60)*590*18</t>
  </si>
  <si>
    <t>350(2*100)*300*15</t>
  </si>
  <si>
    <t>1020*600*46</t>
  </si>
  <si>
    <t>260*250*19</t>
  </si>
  <si>
    <t>450*500*36</t>
  </si>
  <si>
    <t>400(2*70)*650*17</t>
  </si>
  <si>
    <t>360(2*60)*600*289</t>
  </si>
  <si>
    <t>140*560*50</t>
  </si>
  <si>
    <t>260(2*70)*504*20</t>
  </si>
  <si>
    <t>210*450</t>
  </si>
  <si>
    <t>185*255*27</t>
  </si>
  <si>
    <t>340(2*50)*600</t>
  </si>
  <si>
    <t>140*560</t>
  </si>
  <si>
    <t>230*400</t>
  </si>
  <si>
    <t>500*700*17</t>
  </si>
  <si>
    <t>420(2*100)*860*25</t>
  </si>
  <si>
    <t>вага!!!</t>
  </si>
  <si>
    <t>650*580*19</t>
  </si>
  <si>
    <t>400*450</t>
  </si>
  <si>
    <t>300(2*80)*500*20</t>
  </si>
  <si>
    <t>400(2*90)*600*29</t>
  </si>
  <si>
    <t>356*420*19</t>
  </si>
  <si>
    <t>660*660*20</t>
  </si>
  <si>
    <t>600*450*40</t>
  </si>
  <si>
    <t>290(290)*770*25</t>
  </si>
  <si>
    <t>1930шт ширина мінус 1; 1.5, 1 бобіна мінус 2,5 см</t>
  </si>
  <si>
    <t>365(2*90)*820*35</t>
  </si>
  <si>
    <t>135*170*58</t>
  </si>
  <si>
    <t>прозора? _ні</t>
  </si>
  <si>
    <t>500*980*50</t>
  </si>
  <si>
    <t>300*450*35</t>
  </si>
  <si>
    <t>380(2*90)*590*25</t>
  </si>
  <si>
    <t>400*600*83</t>
  </si>
  <si>
    <t>800*1200*95</t>
  </si>
  <si>
    <t>650*1000*95</t>
  </si>
  <si>
    <t>420*600*76</t>
  </si>
  <si>
    <t>560*1180*49</t>
  </si>
  <si>
    <t>200*400*9</t>
  </si>
  <si>
    <t>code</t>
  </si>
  <si>
    <t>status</t>
  </si>
  <si>
    <t>ready_packages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</si>
</sst>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scheme val="minor"/>
    </font>
    <font>
      <sz val="13"/>
      <color theme="1"/>
      <name val="Arial"/>
      <family val="2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readingOrder="1"/>
    </xf>
    <xf numFmtId="164" fontId="1" fillId="0" borderId="1" xfId="0" applyNumberFormat="1" applyFont="1" applyBorder="1" applyAlignment="1">
      <alignment readingOrder="1"/>
    </xf>
    <xf numFmtId="16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1" fillId="0" borderId="3" xfId="0" applyFont="1" applyBorder="1"/>
    <xf numFmtId="0" fontId="0" fillId="0" borderId="4" xfId="0" applyBorder="1"/>
    <xf numFmtId="0" fontId="4" fillId="0" borderId="1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0" fillId="0" borderId="1" xfId="0" applyBorder="1"/>
    <xf numFmtId="0" fontId="5" fillId="0" borderId="1" xfId="0" applyFont="1" applyBorder="1" applyAlignment="1">
      <alignment readingOrder="1"/>
    </xf>
    <xf numFmtId="16" fontId="1" fillId="0" borderId="3" xfId="0" applyNumberFormat="1" applyFont="1" applyBorder="1"/>
    <xf numFmtId="0" fontId="0" fillId="0" borderId="3" xfId="0" applyBorder="1"/>
    <xf numFmtId="0" fontId="3" fillId="2" borderId="3" xfId="0" applyFont="1" applyFill="1" applyBorder="1" applyAlignment="1">
      <alignment readingOrder="1"/>
    </xf>
    <xf numFmtId="16" fontId="0" fillId="0" borderId="1" xfId="0" applyNumberFormat="1" applyBorder="1"/>
    <xf numFmtId="0" fontId="6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readingOrder="1"/>
    </xf>
    <xf numFmtId="165" fontId="6" fillId="2" borderId="1" xfId="0" applyNumberFormat="1" applyFont="1" applyFill="1" applyBorder="1" applyAlignment="1">
      <alignment readingOrder="1"/>
    </xf>
    <xf numFmtId="165" fontId="3" fillId="2" borderId="1" xfId="0" applyNumberFormat="1" applyFont="1" applyFill="1" applyBorder="1" applyAlignment="1">
      <alignment readingOrder="1"/>
    </xf>
    <xf numFmtId="0" fontId="0" fillId="0" borderId="8" xfId="0" applyBorder="1"/>
    <xf numFmtId="10" fontId="2" fillId="2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readingOrder="1"/>
    </xf>
    <xf numFmtId="0" fontId="2" fillId="2" borderId="1" xfId="0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readingOrder="1"/>
    </xf>
  </cellXfs>
  <cellStyles count="1">
    <cellStyle name="Обычный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opLeftCell="A29" workbookViewId="0">
      <selection activeCell="D14" sqref="D14"/>
    </sheetView>
  </sheetViews>
  <sheetFormatPr baseColWidth="10" defaultColWidth="8.83203125" defaultRowHeight="15" x14ac:dyDescent="0.2"/>
  <cols>
    <col min="2" max="2" width="11.6640625" bestFit="1" customWidth="1"/>
    <col min="4" max="4" width="14.5" bestFit="1" customWidth="1"/>
    <col min="5" max="5" width="20.5" bestFit="1" customWidth="1"/>
    <col min="6" max="6" width="11.1640625" customWidth="1"/>
    <col min="7" max="7" width="14.83203125" customWidth="1"/>
    <col min="10" max="11" width="10.33203125" bestFit="1" customWidth="1"/>
    <col min="13" max="13" width="10.33203125" bestFit="1" customWidth="1"/>
    <col min="14" max="14" width="33.6640625" bestFit="1" customWidth="1"/>
  </cols>
  <sheetData>
    <row r="1" spans="1:14" ht="48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15" customHeight="1" x14ac:dyDescent="0.2">
      <c r="A2" s="4">
        <v>45989</v>
      </c>
      <c r="B2" s="1" t="s">
        <v>14</v>
      </c>
      <c r="C2" s="2" t="s">
        <v>15</v>
      </c>
      <c r="D2" s="2">
        <v>2972</v>
      </c>
      <c r="E2" s="2" t="s">
        <v>16</v>
      </c>
      <c r="F2" s="2">
        <v>250</v>
      </c>
      <c r="G2" s="2">
        <v>56</v>
      </c>
      <c r="H2" s="2">
        <v>225</v>
      </c>
      <c r="I2" s="2">
        <v>14225</v>
      </c>
      <c r="J2" s="3">
        <v>10.1</v>
      </c>
      <c r="K2" s="3">
        <v>9.6999999999999993</v>
      </c>
      <c r="L2" s="3"/>
      <c r="M2" s="3"/>
      <c r="N2" s="2"/>
    </row>
    <row r="3" spans="1:14" ht="15" customHeight="1" x14ac:dyDescent="0.2">
      <c r="A3" s="4">
        <v>45990</v>
      </c>
      <c r="B3" s="1" t="s">
        <v>14</v>
      </c>
      <c r="C3" s="2" t="s">
        <v>15</v>
      </c>
      <c r="D3" s="2">
        <v>3075</v>
      </c>
      <c r="E3" s="2" t="s">
        <v>17</v>
      </c>
      <c r="F3" s="2">
        <v>500</v>
      </c>
      <c r="G3" s="2">
        <v>22</v>
      </c>
      <c r="H3" s="2"/>
      <c r="I3" s="2">
        <v>11000</v>
      </c>
      <c r="J3" s="3">
        <v>3.5</v>
      </c>
      <c r="K3" s="3"/>
      <c r="L3" s="3"/>
      <c r="M3" s="3"/>
      <c r="N3" s="2"/>
    </row>
    <row r="4" spans="1:14" ht="15" customHeight="1" x14ac:dyDescent="0.2">
      <c r="A4" s="4">
        <v>45989</v>
      </c>
      <c r="B4" s="1" t="s">
        <v>14</v>
      </c>
      <c r="C4" s="2" t="s">
        <v>15</v>
      </c>
      <c r="D4" s="2">
        <v>3074</v>
      </c>
      <c r="E4" s="2" t="s">
        <v>18</v>
      </c>
      <c r="F4" s="2">
        <v>500</v>
      </c>
      <c r="G4" s="2">
        <v>20</v>
      </c>
      <c r="H4" s="2">
        <v>350</v>
      </c>
      <c r="I4" s="2">
        <v>10350</v>
      </c>
      <c r="J4" s="3">
        <v>1.4</v>
      </c>
      <c r="K4" s="3"/>
      <c r="L4" s="3"/>
      <c r="M4" s="3"/>
      <c r="N4" s="2"/>
    </row>
    <row r="5" spans="1:14" ht="15" customHeight="1" x14ac:dyDescent="0.2">
      <c r="A5" s="4">
        <v>45989</v>
      </c>
      <c r="B5" s="1" t="s">
        <v>14</v>
      </c>
      <c r="C5" s="2" t="s">
        <v>15</v>
      </c>
      <c r="D5" s="2">
        <v>2897</v>
      </c>
      <c r="E5" s="2" t="s">
        <v>19</v>
      </c>
      <c r="F5" s="2">
        <v>500</v>
      </c>
      <c r="G5" s="2">
        <v>6</v>
      </c>
      <c r="H5" s="2"/>
      <c r="I5" s="2">
        <v>3000</v>
      </c>
      <c r="J5" s="3">
        <v>1.8</v>
      </c>
      <c r="K5" s="3"/>
      <c r="L5" s="3"/>
      <c r="M5" s="3"/>
      <c r="N5" s="2"/>
    </row>
    <row r="6" spans="1:14" ht="15" customHeight="1" x14ac:dyDescent="0.2">
      <c r="A6" s="4">
        <v>45989</v>
      </c>
      <c r="B6" s="1" t="s">
        <v>14</v>
      </c>
      <c r="C6" s="2" t="s">
        <v>20</v>
      </c>
      <c r="D6" s="2">
        <v>2953</v>
      </c>
      <c r="E6" s="2" t="s">
        <v>21</v>
      </c>
      <c r="F6" s="2">
        <v>1000</v>
      </c>
      <c r="G6" s="2">
        <v>57</v>
      </c>
      <c r="H6" s="2">
        <v>100</v>
      </c>
      <c r="I6" s="2">
        <v>57100</v>
      </c>
      <c r="J6" s="3">
        <v>2.2999999999999998</v>
      </c>
      <c r="K6" s="3">
        <v>15.5</v>
      </c>
      <c r="L6" s="3"/>
      <c r="M6" s="3"/>
      <c r="N6" s="2"/>
    </row>
    <row r="7" spans="1:14" ht="15" customHeight="1" x14ac:dyDescent="0.2">
      <c r="A7" s="4">
        <v>45989</v>
      </c>
      <c r="B7" s="1" t="s">
        <v>14</v>
      </c>
      <c r="C7" s="2" t="s">
        <v>20</v>
      </c>
      <c r="D7" s="2">
        <v>2723</v>
      </c>
      <c r="E7" s="2" t="s">
        <v>22</v>
      </c>
      <c r="F7" s="2">
        <v>2000</v>
      </c>
      <c r="G7" s="2">
        <v>3</v>
      </c>
      <c r="H7" s="2"/>
      <c r="I7" s="2">
        <v>6000</v>
      </c>
      <c r="J7" s="3">
        <v>1</v>
      </c>
      <c r="K7" s="3"/>
      <c r="L7" s="3"/>
      <c r="M7" s="3"/>
      <c r="N7" s="2" t="s">
        <v>23</v>
      </c>
    </row>
    <row r="8" spans="1:14" ht="15" customHeight="1" x14ac:dyDescent="0.2">
      <c r="A8" s="4">
        <v>45989</v>
      </c>
      <c r="B8" s="1" t="s">
        <v>14</v>
      </c>
      <c r="C8" s="2" t="s">
        <v>24</v>
      </c>
      <c r="D8" s="2">
        <v>2996</v>
      </c>
      <c r="E8" s="2" t="s">
        <v>25</v>
      </c>
      <c r="F8" s="2">
        <v>4000</v>
      </c>
      <c r="G8" s="2">
        <v>11</v>
      </c>
      <c r="H8" s="2">
        <v>3000</v>
      </c>
      <c r="I8" s="2">
        <v>47000</v>
      </c>
      <c r="J8" s="3">
        <v>2.9</v>
      </c>
      <c r="K8" s="3"/>
      <c r="L8" s="3"/>
      <c r="M8" s="3"/>
      <c r="N8" s="2"/>
    </row>
    <row r="9" spans="1:14" ht="15" customHeight="1" x14ac:dyDescent="0.2">
      <c r="A9" s="4">
        <v>45989</v>
      </c>
      <c r="B9" s="1" t="s">
        <v>14</v>
      </c>
      <c r="C9" s="2" t="s">
        <v>24</v>
      </c>
      <c r="D9" s="2">
        <v>2999</v>
      </c>
      <c r="E9" s="2" t="s">
        <v>26</v>
      </c>
      <c r="F9" s="2">
        <v>4000</v>
      </c>
      <c r="G9" s="2">
        <v>5</v>
      </c>
      <c r="H9" s="2"/>
      <c r="I9" s="2">
        <v>20000</v>
      </c>
      <c r="J9" s="3">
        <v>0.6</v>
      </c>
      <c r="K9" s="3"/>
      <c r="L9" s="3"/>
      <c r="M9" s="3"/>
      <c r="N9" s="2"/>
    </row>
    <row r="10" spans="1:14" ht="15" customHeight="1" x14ac:dyDescent="0.2">
      <c r="A10" s="4">
        <v>45989</v>
      </c>
      <c r="B10" s="1" t="s">
        <v>14</v>
      </c>
      <c r="C10" s="2" t="s">
        <v>27</v>
      </c>
      <c r="D10" s="2">
        <v>3033</v>
      </c>
      <c r="E10" s="2" t="s">
        <v>28</v>
      </c>
      <c r="F10" s="2">
        <v>2000</v>
      </c>
      <c r="G10" s="2">
        <v>10</v>
      </c>
      <c r="H10" s="2"/>
      <c r="I10" s="2">
        <v>20000</v>
      </c>
      <c r="J10" s="3">
        <v>1.5</v>
      </c>
      <c r="K10" s="3"/>
      <c r="L10" s="3"/>
      <c r="M10" s="3"/>
      <c r="N10" s="2" t="s">
        <v>29</v>
      </c>
    </row>
    <row r="11" spans="1:14" ht="15" customHeight="1" x14ac:dyDescent="0.2">
      <c r="A11" s="4">
        <v>45989</v>
      </c>
      <c r="B11" s="1" t="s">
        <v>14</v>
      </c>
      <c r="C11" s="2" t="s">
        <v>27</v>
      </c>
      <c r="D11" s="2">
        <v>3034</v>
      </c>
      <c r="E11" s="2" t="s">
        <v>30</v>
      </c>
      <c r="F11" s="2">
        <v>2000</v>
      </c>
      <c r="G11" s="2">
        <v>10</v>
      </c>
      <c r="H11" s="2"/>
      <c r="I11" s="2">
        <v>20000</v>
      </c>
      <c r="J11" s="3">
        <v>3.2</v>
      </c>
      <c r="K11" s="3"/>
      <c r="L11" s="3"/>
      <c r="M11" s="3"/>
      <c r="N11" s="2" t="s">
        <v>31</v>
      </c>
    </row>
    <row r="12" spans="1:14" ht="15" customHeight="1" x14ac:dyDescent="0.2">
      <c r="A12" s="4">
        <v>45989</v>
      </c>
      <c r="B12" s="1" t="s">
        <v>14</v>
      </c>
      <c r="C12" s="2" t="s">
        <v>27</v>
      </c>
      <c r="D12" s="2">
        <v>3173</v>
      </c>
      <c r="E12" s="2" t="s">
        <v>32</v>
      </c>
      <c r="F12" s="2">
        <v>250</v>
      </c>
      <c r="G12" s="2">
        <v>29</v>
      </c>
      <c r="H12" s="2"/>
      <c r="I12" s="2">
        <v>7250</v>
      </c>
      <c r="J12" s="3">
        <v>2.4</v>
      </c>
      <c r="K12" s="3"/>
      <c r="L12" s="3"/>
      <c r="M12" s="3"/>
      <c r="N12" s="2"/>
    </row>
    <row r="13" spans="1:14" ht="15" customHeight="1" x14ac:dyDescent="0.2">
      <c r="A13" s="4">
        <v>45989</v>
      </c>
      <c r="B13" s="1" t="s">
        <v>14</v>
      </c>
      <c r="C13" s="2" t="s">
        <v>33</v>
      </c>
      <c r="D13" s="2">
        <v>2803</v>
      </c>
      <c r="E13" s="2" t="s">
        <v>34</v>
      </c>
      <c r="F13" s="2">
        <v>400</v>
      </c>
      <c r="G13" s="2">
        <v>13</v>
      </c>
      <c r="H13" s="2">
        <v>250</v>
      </c>
      <c r="I13" s="2">
        <v>5450</v>
      </c>
      <c r="J13" s="3">
        <v>4.7</v>
      </c>
      <c r="K13" s="3">
        <v>5.5</v>
      </c>
      <c r="L13" s="3"/>
      <c r="M13" s="3">
        <v>23.8</v>
      </c>
      <c r="N13" s="2"/>
    </row>
    <row r="14" spans="1:14" ht="15" customHeight="1" x14ac:dyDescent="0.2">
      <c r="A14" s="4">
        <v>45989</v>
      </c>
      <c r="B14" s="1" t="s">
        <v>14</v>
      </c>
      <c r="C14" s="2" t="s">
        <v>33</v>
      </c>
      <c r="D14" s="2">
        <v>2801</v>
      </c>
      <c r="E14" s="2" t="s">
        <v>35</v>
      </c>
      <c r="F14" s="2">
        <v>500</v>
      </c>
      <c r="G14" s="2">
        <v>13</v>
      </c>
      <c r="H14" s="2">
        <v>300</v>
      </c>
      <c r="I14" s="2">
        <v>6800</v>
      </c>
      <c r="J14" s="3">
        <v>6</v>
      </c>
      <c r="K14" s="3">
        <v>2</v>
      </c>
      <c r="L14" s="3"/>
      <c r="M14" s="3">
        <v>24</v>
      </c>
      <c r="N14" s="2"/>
    </row>
    <row r="15" spans="1:14" ht="15" customHeight="1" x14ac:dyDescent="0.2">
      <c r="A15" s="4">
        <v>45989</v>
      </c>
      <c r="B15" s="1" t="s">
        <v>14</v>
      </c>
      <c r="C15" s="2" t="s">
        <v>33</v>
      </c>
      <c r="D15" s="2">
        <v>2820</v>
      </c>
      <c r="E15" s="2" t="s">
        <v>36</v>
      </c>
      <c r="F15" s="2">
        <v>500</v>
      </c>
      <c r="G15" s="2">
        <v>42</v>
      </c>
      <c r="H15" s="2"/>
      <c r="I15" s="2">
        <v>21000</v>
      </c>
      <c r="J15" s="3">
        <v>7</v>
      </c>
      <c r="K15" s="3">
        <v>3.3</v>
      </c>
      <c r="L15" s="3"/>
      <c r="M15" s="3">
        <v>38.799999999999997</v>
      </c>
      <c r="N15" s="2"/>
    </row>
    <row r="16" spans="1:14" ht="15" customHeight="1" x14ac:dyDescent="0.2">
      <c r="A16" s="4">
        <v>45989</v>
      </c>
      <c r="B16" s="1" t="s">
        <v>14</v>
      </c>
      <c r="C16" s="2" t="s">
        <v>37</v>
      </c>
      <c r="D16" s="2">
        <v>2973</v>
      </c>
      <c r="E16" s="2" t="s">
        <v>38</v>
      </c>
      <c r="F16" s="2">
        <v>125</v>
      </c>
      <c r="G16" s="2">
        <v>6</v>
      </c>
      <c r="H16" s="2">
        <v>75</v>
      </c>
      <c r="I16" s="2">
        <v>825</v>
      </c>
      <c r="J16" s="3"/>
      <c r="K16" s="3"/>
      <c r="L16" s="3"/>
      <c r="M16" s="3"/>
      <c r="N16" s="2" t="s">
        <v>39</v>
      </c>
    </row>
    <row r="17" spans="1:14" ht="15" customHeight="1" x14ac:dyDescent="0.2">
      <c r="A17" s="4">
        <v>45990</v>
      </c>
      <c r="B17" s="1" t="s">
        <v>40</v>
      </c>
      <c r="C17" s="2" t="s">
        <v>15</v>
      </c>
      <c r="D17" s="2">
        <v>2897</v>
      </c>
      <c r="E17" s="2" t="s">
        <v>41</v>
      </c>
      <c r="F17" s="2">
        <v>500</v>
      </c>
      <c r="G17" s="2">
        <v>38</v>
      </c>
      <c r="H17" s="2">
        <v>200</v>
      </c>
      <c r="I17" s="2">
        <v>19200</v>
      </c>
      <c r="J17" s="2">
        <v>1.1000000000000001</v>
      </c>
      <c r="K17" s="2"/>
      <c r="L17" s="2">
        <v>5.0999999999999996</v>
      </c>
      <c r="M17" s="2"/>
      <c r="N17" s="2"/>
    </row>
    <row r="18" spans="1:14" ht="15" customHeight="1" x14ac:dyDescent="0.2">
      <c r="A18" s="4">
        <v>45990</v>
      </c>
      <c r="B18" s="1" t="s">
        <v>40</v>
      </c>
      <c r="C18" s="2" t="s">
        <v>15</v>
      </c>
      <c r="D18" s="2">
        <v>2923</v>
      </c>
      <c r="E18" s="2" t="s">
        <v>42</v>
      </c>
      <c r="F18" s="2">
        <v>1000</v>
      </c>
      <c r="G18" s="2">
        <v>12</v>
      </c>
      <c r="H18" s="2">
        <v>800</v>
      </c>
      <c r="I18" s="2">
        <v>12800</v>
      </c>
      <c r="J18" s="2">
        <v>1.5</v>
      </c>
      <c r="K18" s="2"/>
      <c r="L18" s="2"/>
      <c r="M18" s="2"/>
      <c r="N18" s="2"/>
    </row>
    <row r="19" spans="1:14" ht="15" customHeight="1" x14ac:dyDescent="0.2">
      <c r="A19" s="4">
        <v>45990</v>
      </c>
      <c r="B19" s="1" t="s">
        <v>40</v>
      </c>
      <c r="C19" s="2" t="s">
        <v>15</v>
      </c>
      <c r="D19" s="2">
        <v>3025</v>
      </c>
      <c r="E19" s="2" t="s">
        <v>43</v>
      </c>
      <c r="F19" s="2">
        <v>2000</v>
      </c>
      <c r="G19" s="2">
        <v>19</v>
      </c>
      <c r="H19" s="2">
        <v>400</v>
      </c>
      <c r="I19" s="2">
        <v>38400</v>
      </c>
      <c r="J19" s="2">
        <v>0.4</v>
      </c>
      <c r="K19" s="2"/>
      <c r="L19" s="2"/>
      <c r="M19" s="2"/>
      <c r="N19" s="2"/>
    </row>
    <row r="20" spans="1:14" ht="15" customHeight="1" x14ac:dyDescent="0.2">
      <c r="A20" s="4">
        <v>45990</v>
      </c>
      <c r="B20" s="1" t="s">
        <v>40</v>
      </c>
      <c r="C20" s="2" t="s">
        <v>20</v>
      </c>
      <c r="D20" s="2">
        <v>2723</v>
      </c>
      <c r="E20" s="2" t="s">
        <v>44</v>
      </c>
      <c r="F20" s="2">
        <v>2000</v>
      </c>
      <c r="G20" s="2">
        <v>20</v>
      </c>
      <c r="H20" s="2"/>
      <c r="I20" s="2">
        <v>40000</v>
      </c>
      <c r="J20" s="2">
        <v>0.8</v>
      </c>
      <c r="K20" s="2">
        <v>2.6</v>
      </c>
      <c r="L20" s="2"/>
      <c r="M20" s="2"/>
      <c r="N20" s="2" t="s">
        <v>45</v>
      </c>
    </row>
    <row r="21" spans="1:14" ht="15" customHeight="1" x14ac:dyDescent="0.2">
      <c r="A21" s="4">
        <v>45990</v>
      </c>
      <c r="B21" s="1" t="s">
        <v>40</v>
      </c>
      <c r="C21" s="2" t="s">
        <v>27</v>
      </c>
      <c r="D21" s="2">
        <v>3173</v>
      </c>
      <c r="E21" s="2" t="s">
        <v>46</v>
      </c>
      <c r="F21" s="2">
        <v>250</v>
      </c>
      <c r="G21" s="2">
        <v>33</v>
      </c>
      <c r="H21" s="2">
        <v>200</v>
      </c>
      <c r="I21" s="2">
        <v>8450</v>
      </c>
      <c r="J21" s="2">
        <v>1.7</v>
      </c>
      <c r="K21" s="2"/>
      <c r="L21" s="2"/>
      <c r="M21" s="2"/>
      <c r="N21" s="2"/>
    </row>
    <row r="22" spans="1:14" ht="15" customHeight="1" x14ac:dyDescent="0.2">
      <c r="A22" s="4">
        <v>45990</v>
      </c>
      <c r="B22" s="1" t="s">
        <v>40</v>
      </c>
      <c r="C22" s="2" t="s">
        <v>27</v>
      </c>
      <c r="D22" s="2">
        <v>2939</v>
      </c>
      <c r="E22" s="2" t="s">
        <v>47</v>
      </c>
      <c r="F22" s="2">
        <v>1500</v>
      </c>
      <c r="G22" s="2">
        <v>3</v>
      </c>
      <c r="H22" s="2">
        <v>500</v>
      </c>
      <c r="I22" s="2">
        <v>5000</v>
      </c>
      <c r="J22" s="2"/>
      <c r="K22" s="2"/>
      <c r="L22" s="2"/>
      <c r="M22" s="2"/>
      <c r="N22" s="2"/>
    </row>
    <row r="23" spans="1:14" ht="15" customHeight="1" x14ac:dyDescent="0.2">
      <c r="A23" s="4">
        <v>45990</v>
      </c>
      <c r="B23" s="1" t="s">
        <v>40</v>
      </c>
      <c r="C23" s="2" t="s">
        <v>27</v>
      </c>
      <c r="D23" s="2">
        <v>3066</v>
      </c>
      <c r="E23" s="2" t="s">
        <v>48</v>
      </c>
      <c r="F23" s="2">
        <v>2500</v>
      </c>
      <c r="G23" s="2">
        <v>11</v>
      </c>
      <c r="H23" s="2"/>
      <c r="I23" s="2">
        <v>27500</v>
      </c>
      <c r="J23" s="2">
        <v>2</v>
      </c>
      <c r="K23" s="2"/>
      <c r="L23" s="2"/>
      <c r="M23" s="2"/>
      <c r="N23" s="2"/>
    </row>
    <row r="24" spans="1:14" x14ac:dyDescent="0.2">
      <c r="A24" s="4">
        <v>45990</v>
      </c>
      <c r="B24" s="1" t="s">
        <v>40</v>
      </c>
      <c r="C24" s="2" t="s">
        <v>24</v>
      </c>
      <c r="D24" s="2">
        <v>2999</v>
      </c>
      <c r="E24" s="2" t="s">
        <v>49</v>
      </c>
      <c r="F24" s="2">
        <v>4000</v>
      </c>
      <c r="G24" s="2">
        <v>20</v>
      </c>
      <c r="H24" s="2"/>
      <c r="I24" s="2">
        <v>80000</v>
      </c>
      <c r="J24" s="2">
        <v>1.4</v>
      </c>
      <c r="K24" s="2"/>
      <c r="L24" s="2">
        <v>3.6</v>
      </c>
      <c r="M24" s="2"/>
      <c r="N24" s="2"/>
    </row>
    <row r="25" spans="1:14" x14ac:dyDescent="0.2">
      <c r="A25" s="4">
        <v>45990</v>
      </c>
      <c r="B25" s="1" t="s">
        <v>40</v>
      </c>
      <c r="C25" s="2" t="s">
        <v>27</v>
      </c>
      <c r="D25" s="2">
        <v>2868</v>
      </c>
      <c r="E25" s="2" t="s">
        <v>50</v>
      </c>
      <c r="F25" s="2">
        <v>250</v>
      </c>
      <c r="G25" s="2">
        <v>1</v>
      </c>
      <c r="H25" s="2"/>
      <c r="I25" s="2">
        <v>250</v>
      </c>
      <c r="J25" s="2">
        <v>8</v>
      </c>
      <c r="K25" s="2"/>
      <c r="L25" s="2"/>
      <c r="M25" s="2"/>
      <c r="N25" s="2"/>
    </row>
    <row r="26" spans="1:14" x14ac:dyDescent="0.2">
      <c r="A26" s="4">
        <v>45990</v>
      </c>
      <c r="B26" s="1" t="s">
        <v>40</v>
      </c>
      <c r="C26" s="2" t="s">
        <v>15</v>
      </c>
      <c r="D26" s="2">
        <v>3061</v>
      </c>
      <c r="E26" s="2" t="s">
        <v>51</v>
      </c>
      <c r="F26" s="2">
        <v>2000</v>
      </c>
      <c r="G26" s="2">
        <v>23</v>
      </c>
      <c r="H26" s="2">
        <v>1800</v>
      </c>
      <c r="I26" s="2">
        <v>47800</v>
      </c>
      <c r="J26" s="2">
        <v>1</v>
      </c>
      <c r="K26" s="2"/>
      <c r="L26" s="2"/>
      <c r="M26" s="2"/>
      <c r="N26" s="2"/>
    </row>
    <row r="27" spans="1:14" x14ac:dyDescent="0.2">
      <c r="A27" s="4">
        <v>45990</v>
      </c>
      <c r="B27" s="1" t="s">
        <v>40</v>
      </c>
      <c r="C27" s="2" t="s">
        <v>15</v>
      </c>
      <c r="D27" s="2">
        <v>3055</v>
      </c>
      <c r="E27" s="2" t="s">
        <v>52</v>
      </c>
      <c r="F27" s="2">
        <v>1200</v>
      </c>
      <c r="G27" s="2">
        <v>3</v>
      </c>
      <c r="H27" s="2"/>
      <c r="I27" s="2">
        <v>3600</v>
      </c>
      <c r="J27" s="2">
        <v>0.6</v>
      </c>
      <c r="K27" s="2"/>
      <c r="L27" s="2"/>
      <c r="M27" s="2"/>
      <c r="N27" s="2"/>
    </row>
    <row r="28" spans="1:14" ht="15" customHeight="1" x14ac:dyDescent="0.2">
      <c r="A28" s="4">
        <v>45990</v>
      </c>
      <c r="B28" s="1" t="s">
        <v>40</v>
      </c>
      <c r="C28" s="2" t="s">
        <v>37</v>
      </c>
      <c r="D28" s="2">
        <v>2973</v>
      </c>
      <c r="E28" s="2" t="s">
        <v>53</v>
      </c>
      <c r="F28" s="2">
        <v>125</v>
      </c>
      <c r="G28" s="2">
        <v>7</v>
      </c>
      <c r="H28" s="2">
        <v>50</v>
      </c>
      <c r="I28" s="2">
        <v>925</v>
      </c>
      <c r="J28" s="2"/>
      <c r="K28" s="2"/>
      <c r="L28" s="2"/>
      <c r="M28" s="1"/>
      <c r="N28" s="1"/>
    </row>
    <row r="29" spans="1:14" x14ac:dyDescent="0.2">
      <c r="A29" s="4">
        <v>45991</v>
      </c>
      <c r="B29" s="1" t="s">
        <v>54</v>
      </c>
      <c r="C29" s="2" t="s">
        <v>15</v>
      </c>
      <c r="D29" s="2">
        <v>3055</v>
      </c>
      <c r="E29" s="2" t="s">
        <v>52</v>
      </c>
      <c r="F29" s="2">
        <v>1200</v>
      </c>
      <c r="G29" s="2">
        <v>21</v>
      </c>
      <c r="H29" s="2">
        <v>600</v>
      </c>
      <c r="I29" s="2">
        <v>25800</v>
      </c>
      <c r="J29" s="2">
        <v>3.8</v>
      </c>
      <c r="K29" s="2"/>
      <c r="L29" s="2"/>
      <c r="M29" s="2"/>
      <c r="N29" s="2"/>
    </row>
    <row r="30" spans="1:14" x14ac:dyDescent="0.2">
      <c r="A30" s="4">
        <v>45991</v>
      </c>
      <c r="B30" s="1" t="s">
        <v>54</v>
      </c>
      <c r="C30" s="2" t="s">
        <v>20</v>
      </c>
      <c r="D30" s="2">
        <v>2723</v>
      </c>
      <c r="E30" s="2" t="s">
        <v>44</v>
      </c>
      <c r="F30" s="2">
        <v>2000</v>
      </c>
      <c r="G30" s="2">
        <v>11</v>
      </c>
      <c r="H30" s="2">
        <v>320</v>
      </c>
      <c r="I30" s="2">
        <v>22320</v>
      </c>
      <c r="J30" s="2">
        <v>3.5</v>
      </c>
      <c r="K30" s="2">
        <v>1.2</v>
      </c>
      <c r="L30" s="2"/>
      <c r="M30" s="2"/>
      <c r="N30" s="2" t="s">
        <v>55</v>
      </c>
    </row>
    <row r="31" spans="1:14" x14ac:dyDescent="0.2">
      <c r="A31" s="4">
        <v>45991</v>
      </c>
      <c r="B31" s="1" t="s">
        <v>54</v>
      </c>
      <c r="C31" s="2" t="s">
        <v>24</v>
      </c>
      <c r="D31" s="2">
        <v>2999</v>
      </c>
      <c r="E31" s="2" t="s">
        <v>49</v>
      </c>
      <c r="F31" s="2">
        <v>4000</v>
      </c>
      <c r="G31" s="2">
        <v>12</v>
      </c>
      <c r="H31" s="2">
        <v>3800</v>
      </c>
      <c r="I31" s="2">
        <v>51800</v>
      </c>
      <c r="J31" s="2">
        <v>0.7</v>
      </c>
      <c r="K31" s="2"/>
      <c r="L31" s="2"/>
      <c r="M31" s="2"/>
      <c r="N31" s="2"/>
    </row>
    <row r="32" spans="1:14" x14ac:dyDescent="0.2">
      <c r="A32" s="4">
        <v>45991</v>
      </c>
      <c r="B32" s="1" t="s">
        <v>54</v>
      </c>
      <c r="C32" s="2" t="s">
        <v>27</v>
      </c>
      <c r="D32" s="2">
        <v>2868</v>
      </c>
      <c r="E32" s="2" t="s">
        <v>50</v>
      </c>
      <c r="F32" s="2">
        <v>250</v>
      </c>
      <c r="G32" s="2">
        <v>36</v>
      </c>
      <c r="H32" s="2">
        <v>100</v>
      </c>
      <c r="I32" s="2">
        <v>9100</v>
      </c>
      <c r="J32" s="2">
        <v>29.3</v>
      </c>
      <c r="K32" s="2"/>
      <c r="L32" s="2"/>
      <c r="M32" s="2">
        <v>5.5</v>
      </c>
      <c r="N32" s="2"/>
    </row>
    <row r="33" spans="1:14" x14ac:dyDescent="0.2">
      <c r="A33" s="4">
        <v>45991</v>
      </c>
      <c r="B33" s="1" t="s">
        <v>54</v>
      </c>
      <c r="C33" s="2" t="s">
        <v>56</v>
      </c>
      <c r="D33" s="2">
        <v>2888</v>
      </c>
      <c r="E33" s="2" t="s">
        <v>57</v>
      </c>
      <c r="F33" s="2">
        <v>500</v>
      </c>
      <c r="G33" s="2">
        <v>34</v>
      </c>
      <c r="H33" s="2">
        <v>275</v>
      </c>
      <c r="I33" s="2">
        <v>17275</v>
      </c>
      <c r="J33" s="2">
        <v>0.9</v>
      </c>
      <c r="K33" s="2">
        <v>3</v>
      </c>
      <c r="L33" s="2"/>
      <c r="M33" s="2">
        <v>27.5</v>
      </c>
      <c r="N33" s="2"/>
    </row>
    <row r="34" spans="1:14" x14ac:dyDescent="0.2">
      <c r="A34" s="4">
        <v>45991</v>
      </c>
      <c r="B34" s="1" t="s">
        <v>54</v>
      </c>
      <c r="C34" s="2" t="s">
        <v>56</v>
      </c>
      <c r="D34" s="2">
        <v>2640</v>
      </c>
      <c r="E34" s="2" t="s">
        <v>58</v>
      </c>
      <c r="F34" s="2">
        <v>500</v>
      </c>
      <c r="G34" s="2">
        <v>82</v>
      </c>
      <c r="H34" s="2"/>
      <c r="I34" s="2">
        <v>4100</v>
      </c>
      <c r="J34" s="2">
        <v>8.9</v>
      </c>
      <c r="K34" s="2">
        <v>30</v>
      </c>
      <c r="L34" s="2"/>
      <c r="M34" s="2">
        <v>114.5</v>
      </c>
      <c r="N34" s="2"/>
    </row>
    <row r="35" spans="1:14" x14ac:dyDescent="0.2">
      <c r="A35" s="4">
        <v>45991</v>
      </c>
      <c r="B35" s="1" t="s">
        <v>54</v>
      </c>
      <c r="C35" s="2" t="s">
        <v>15</v>
      </c>
      <c r="D35" s="2">
        <v>3064</v>
      </c>
      <c r="E35" s="2" t="s">
        <v>59</v>
      </c>
      <c r="F35" s="2">
        <v>500</v>
      </c>
      <c r="G35" s="2">
        <v>20</v>
      </c>
      <c r="H35" s="2">
        <v>400</v>
      </c>
      <c r="I35" s="2">
        <v>10400</v>
      </c>
      <c r="J35" s="2">
        <v>2.68</v>
      </c>
      <c r="K35" s="2"/>
      <c r="L35" s="2"/>
      <c r="M35" s="2"/>
      <c r="N35" s="2"/>
    </row>
    <row r="36" spans="1:14" x14ac:dyDescent="0.2">
      <c r="A36" s="4">
        <v>45991</v>
      </c>
      <c r="B36" s="1" t="s">
        <v>54</v>
      </c>
      <c r="C36" s="2" t="s">
        <v>15</v>
      </c>
      <c r="D36" s="2">
        <v>3065</v>
      </c>
      <c r="E36" s="2" t="s">
        <v>60</v>
      </c>
      <c r="F36" s="2">
        <v>1000</v>
      </c>
      <c r="G36" s="2">
        <v>7</v>
      </c>
      <c r="H36" s="2">
        <v>500</v>
      </c>
      <c r="I36" s="2">
        <v>7500</v>
      </c>
      <c r="J36" s="2"/>
      <c r="K36" s="2"/>
      <c r="L36" s="2"/>
      <c r="M36" s="2"/>
      <c r="N36" s="2"/>
    </row>
    <row r="37" spans="1:14" x14ac:dyDescent="0.2">
      <c r="A37" s="4">
        <v>45991</v>
      </c>
      <c r="B37" s="1" t="s">
        <v>54</v>
      </c>
      <c r="C37" s="2" t="s">
        <v>27</v>
      </c>
      <c r="D37" s="2">
        <v>2943</v>
      </c>
      <c r="E37" s="2" t="s">
        <v>61</v>
      </c>
      <c r="F37" s="2">
        <v>1000</v>
      </c>
      <c r="G37" s="2">
        <v>12</v>
      </c>
      <c r="H37" s="2">
        <v>400</v>
      </c>
      <c r="I37" s="2">
        <v>12400</v>
      </c>
      <c r="J37" s="2">
        <v>2.6</v>
      </c>
      <c r="K37" s="2"/>
      <c r="L37" s="2"/>
      <c r="M37" s="2"/>
      <c r="N37" s="2" t="s">
        <v>62</v>
      </c>
    </row>
    <row r="38" spans="1:14" x14ac:dyDescent="0.2">
      <c r="A38" s="4">
        <v>45991</v>
      </c>
      <c r="B38" s="1" t="s">
        <v>54</v>
      </c>
      <c r="C38" s="2" t="s">
        <v>15</v>
      </c>
      <c r="D38" s="2">
        <v>2845</v>
      </c>
      <c r="E38" s="2" t="s">
        <v>63</v>
      </c>
      <c r="F38" s="2">
        <v>1000</v>
      </c>
      <c r="G38" s="2">
        <v>24</v>
      </c>
      <c r="H38" s="2"/>
      <c r="I38" s="2">
        <v>24000</v>
      </c>
      <c r="J38" s="2">
        <v>6.2</v>
      </c>
      <c r="K38" s="2"/>
      <c r="L38" s="2"/>
      <c r="M38" s="2"/>
      <c r="N38" s="2"/>
    </row>
    <row r="39" spans="1:14" x14ac:dyDescent="0.2">
      <c r="A39" s="4">
        <v>45991</v>
      </c>
      <c r="B39" s="1" t="s">
        <v>54</v>
      </c>
      <c r="C39" s="2" t="s">
        <v>27</v>
      </c>
      <c r="D39" s="2">
        <v>3033</v>
      </c>
      <c r="E39" s="2" t="s">
        <v>64</v>
      </c>
      <c r="F39" s="2">
        <v>1000</v>
      </c>
      <c r="G39" s="2">
        <v>27</v>
      </c>
      <c r="H39" s="2"/>
      <c r="I39" s="2">
        <v>27000</v>
      </c>
      <c r="J39" s="2">
        <v>1.9</v>
      </c>
      <c r="K39" s="2"/>
      <c r="L39" s="2"/>
      <c r="M39" s="2"/>
      <c r="N39" s="2"/>
    </row>
    <row r="40" spans="1:14" x14ac:dyDescent="0.2">
      <c r="A40" s="4">
        <v>45991</v>
      </c>
      <c r="B40" s="1" t="s">
        <v>54</v>
      </c>
      <c r="C40" s="2" t="s">
        <v>20</v>
      </c>
      <c r="D40" s="2">
        <v>2737</v>
      </c>
      <c r="E40" s="2" t="s">
        <v>65</v>
      </c>
      <c r="F40" s="2">
        <v>2000</v>
      </c>
      <c r="G40" s="2">
        <v>5</v>
      </c>
      <c r="H40" s="2"/>
      <c r="I40" s="2">
        <v>10000</v>
      </c>
      <c r="J40" s="2">
        <v>1</v>
      </c>
      <c r="K40" s="2">
        <v>0.5</v>
      </c>
      <c r="L40" s="2"/>
      <c r="M40" s="2"/>
      <c r="N40" s="2"/>
    </row>
    <row r="41" spans="1:14" x14ac:dyDescent="0.2">
      <c r="A41" s="4">
        <v>45991</v>
      </c>
      <c r="B41" s="1" t="s">
        <v>54</v>
      </c>
      <c r="C41" s="2" t="s">
        <v>56</v>
      </c>
      <c r="D41" s="2">
        <v>2638</v>
      </c>
      <c r="E41" s="2" t="s">
        <v>66</v>
      </c>
      <c r="F41" s="2">
        <v>500</v>
      </c>
      <c r="G41" s="2">
        <v>21</v>
      </c>
      <c r="H41" s="2"/>
      <c r="I41" s="2">
        <v>10500</v>
      </c>
      <c r="J41" s="2">
        <v>8.1999999999999993</v>
      </c>
      <c r="K41" s="2">
        <v>4.7</v>
      </c>
      <c r="L41" s="2">
        <v>17.7</v>
      </c>
      <c r="M41" s="2"/>
      <c r="N41" s="2"/>
    </row>
    <row r="42" spans="1:14" x14ac:dyDescent="0.2">
      <c r="A42" s="4">
        <v>45991</v>
      </c>
      <c r="B42" s="1" t="s">
        <v>54</v>
      </c>
      <c r="C42" s="2" t="s">
        <v>24</v>
      </c>
      <c r="D42" s="2">
        <v>2922</v>
      </c>
      <c r="E42" s="2" t="s">
        <v>67</v>
      </c>
      <c r="F42" s="2">
        <v>1000</v>
      </c>
      <c r="G42" s="2">
        <v>4</v>
      </c>
      <c r="H42" s="2"/>
      <c r="I42" s="2">
        <v>4000</v>
      </c>
      <c r="J42" s="2"/>
      <c r="K42" s="2"/>
      <c r="L42" s="2"/>
      <c r="M42" s="2"/>
      <c r="N42" s="2"/>
    </row>
    <row r="43" spans="1:14" x14ac:dyDescent="0.2">
      <c r="A43" s="4">
        <v>45991</v>
      </c>
      <c r="B43" s="1" t="s">
        <v>54</v>
      </c>
      <c r="C43" s="2" t="s">
        <v>37</v>
      </c>
      <c r="D43" s="2">
        <v>2973</v>
      </c>
      <c r="E43" s="2" t="s">
        <v>68</v>
      </c>
      <c r="F43" s="2">
        <v>125</v>
      </c>
      <c r="G43" s="2">
        <v>5</v>
      </c>
      <c r="H43" s="2">
        <v>50</v>
      </c>
      <c r="I43" s="2">
        <v>675</v>
      </c>
      <c r="J43" s="2"/>
      <c r="K43" s="2"/>
      <c r="L43" s="2"/>
      <c r="M43" s="1"/>
      <c r="N43" s="1"/>
    </row>
  </sheetData>
  <autoFilter ref="A1:N43" xr:uid="{00000000-0001-0000-0000-000000000000}"/>
  <conditionalFormatting sqref="D2:D43">
    <cfRule type="duplicateValues" dxfId="1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D8E7-340E-4E32-8C11-7BE7D72CCA7C}">
  <sheetPr>
    <pageSetUpPr fitToPage="1"/>
  </sheetPr>
  <dimension ref="A1:N441"/>
  <sheetViews>
    <sheetView topLeftCell="B1" workbookViewId="0">
      <pane ySplit="1" topLeftCell="A419" activePane="bottomLeft" state="frozen"/>
      <selection activeCell="B1" sqref="B1"/>
      <selection pane="bottomLeft" activeCell="B1" sqref="B1"/>
    </sheetView>
  </sheetViews>
  <sheetFormatPr baseColWidth="10" defaultColWidth="8.83203125" defaultRowHeight="15" x14ac:dyDescent="0.2"/>
  <cols>
    <col min="2" max="2" width="11.6640625" bestFit="1" customWidth="1"/>
    <col min="3" max="3" width="9.6640625" customWidth="1"/>
    <col min="4" max="4" width="14.5" bestFit="1" customWidth="1"/>
    <col min="5" max="5" width="20.5" bestFit="1" customWidth="1"/>
    <col min="6" max="6" width="11.1640625" customWidth="1"/>
    <col min="7" max="7" width="14.83203125" customWidth="1"/>
    <col min="10" max="11" width="10.33203125" bestFit="1" customWidth="1"/>
    <col min="13" max="13" width="10.33203125" bestFit="1" customWidth="1"/>
    <col min="14" max="14" width="33.6640625" bestFit="1" customWidth="1"/>
  </cols>
  <sheetData>
    <row r="1" spans="1:14" ht="48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15" customHeight="1" x14ac:dyDescent="0.2">
      <c r="A2" s="4">
        <v>45992</v>
      </c>
      <c r="B2" s="1" t="s">
        <v>14</v>
      </c>
      <c r="C2" s="1" t="s">
        <v>15</v>
      </c>
      <c r="D2" s="1">
        <v>2845</v>
      </c>
      <c r="E2" s="1" t="s">
        <v>63</v>
      </c>
      <c r="F2" s="1">
        <v>1000</v>
      </c>
      <c r="G2" s="1">
        <v>17</v>
      </c>
      <c r="H2" s="1"/>
      <c r="I2" s="8">
        <f>F2*G2+H2</f>
        <v>17000</v>
      </c>
      <c r="J2" s="1">
        <v>2.9</v>
      </c>
      <c r="K2" s="1"/>
      <c r="L2" s="1"/>
      <c r="M2" s="1"/>
      <c r="N2" s="1" t="s">
        <v>69</v>
      </c>
    </row>
    <row r="3" spans="1:14" ht="15" customHeight="1" x14ac:dyDescent="0.2">
      <c r="A3" s="4">
        <v>45992</v>
      </c>
      <c r="B3" s="1" t="s">
        <v>14</v>
      </c>
      <c r="C3" s="1" t="s">
        <v>15</v>
      </c>
      <c r="D3" s="1">
        <v>2994</v>
      </c>
      <c r="E3" s="1" t="s">
        <v>70</v>
      </c>
      <c r="F3" s="1">
        <v>1000</v>
      </c>
      <c r="G3" s="1">
        <v>10</v>
      </c>
      <c r="H3" s="1"/>
      <c r="I3" s="8">
        <f t="shared" ref="I3:I43" si="0">F3*G3+H3</f>
        <v>10000</v>
      </c>
      <c r="J3" s="1">
        <v>3.2</v>
      </c>
      <c r="K3" s="1"/>
      <c r="L3" s="1"/>
      <c r="M3" s="1"/>
      <c r="N3" s="1"/>
    </row>
    <row r="4" spans="1:14" ht="15" customHeight="1" x14ac:dyDescent="0.2">
      <c r="A4" s="4">
        <v>45992</v>
      </c>
      <c r="B4" s="1" t="s">
        <v>14</v>
      </c>
      <c r="C4" s="1" t="s">
        <v>15</v>
      </c>
      <c r="D4" s="1">
        <v>2984</v>
      </c>
      <c r="E4" s="1" t="s">
        <v>71</v>
      </c>
      <c r="F4" s="1">
        <v>1000</v>
      </c>
      <c r="G4" s="1">
        <v>5</v>
      </c>
      <c r="H4" s="1">
        <v>980</v>
      </c>
      <c r="I4" s="8">
        <f t="shared" si="0"/>
        <v>5980</v>
      </c>
      <c r="J4" s="1">
        <v>0.9</v>
      </c>
      <c r="K4" s="1"/>
      <c r="L4" s="1"/>
      <c r="M4" s="1"/>
      <c r="N4" s="1"/>
    </row>
    <row r="5" spans="1:14" ht="15" customHeight="1" x14ac:dyDescent="0.2">
      <c r="A5" s="4">
        <v>45992</v>
      </c>
      <c r="B5" s="1" t="s">
        <v>14</v>
      </c>
      <c r="C5" s="1" t="s">
        <v>15</v>
      </c>
      <c r="D5" s="1">
        <v>2985</v>
      </c>
      <c r="E5" s="1" t="s">
        <v>72</v>
      </c>
      <c r="F5" s="1">
        <v>1500</v>
      </c>
      <c r="G5" s="1">
        <v>4</v>
      </c>
      <c r="H5" s="1">
        <v>400</v>
      </c>
      <c r="I5" s="8">
        <f t="shared" si="0"/>
        <v>6400</v>
      </c>
      <c r="J5" s="1">
        <v>0.4</v>
      </c>
      <c r="K5" s="1"/>
      <c r="L5" s="1"/>
      <c r="M5" s="1"/>
      <c r="N5" s="1"/>
    </row>
    <row r="6" spans="1:14" ht="15" customHeight="1" x14ac:dyDescent="0.2">
      <c r="A6" s="4">
        <v>45992</v>
      </c>
      <c r="B6" s="1" t="s">
        <v>14</v>
      </c>
      <c r="C6" s="1" t="s">
        <v>15</v>
      </c>
      <c r="D6" s="1">
        <v>3006</v>
      </c>
      <c r="E6" s="1" t="s">
        <v>73</v>
      </c>
      <c r="F6" s="1">
        <v>1500</v>
      </c>
      <c r="G6" s="1">
        <v>12</v>
      </c>
      <c r="H6" s="1"/>
      <c r="I6" s="8">
        <f t="shared" si="0"/>
        <v>18000</v>
      </c>
      <c r="J6" s="1">
        <v>4.5</v>
      </c>
      <c r="K6" s="1"/>
      <c r="L6" s="1"/>
      <c r="M6" s="1"/>
      <c r="N6" s="1" t="s">
        <v>74</v>
      </c>
    </row>
    <row r="7" spans="1:14" ht="15" customHeight="1" x14ac:dyDescent="0.2">
      <c r="A7" s="4">
        <v>45992</v>
      </c>
      <c r="B7" s="1" t="s">
        <v>14</v>
      </c>
      <c r="C7" s="1" t="s">
        <v>20</v>
      </c>
      <c r="D7" s="1">
        <v>2737</v>
      </c>
      <c r="E7" s="1" t="s">
        <v>65</v>
      </c>
      <c r="F7" s="1">
        <v>2000</v>
      </c>
      <c r="G7" s="1">
        <v>12</v>
      </c>
      <c r="H7" s="1">
        <v>1700</v>
      </c>
      <c r="I7" s="8">
        <f t="shared" si="0"/>
        <v>25700</v>
      </c>
      <c r="J7" s="1">
        <v>2.6</v>
      </c>
      <c r="K7" s="1">
        <v>3.8</v>
      </c>
      <c r="L7" s="1"/>
      <c r="M7" s="1"/>
      <c r="N7" s="1" t="s">
        <v>75</v>
      </c>
    </row>
    <row r="8" spans="1:14" ht="15" customHeight="1" x14ac:dyDescent="0.2">
      <c r="A8" s="4">
        <v>45992</v>
      </c>
      <c r="B8" s="1" t="s">
        <v>14</v>
      </c>
      <c r="C8" s="1" t="s">
        <v>20</v>
      </c>
      <c r="D8" s="1">
        <v>3195</v>
      </c>
      <c r="E8" s="1" t="s">
        <v>76</v>
      </c>
      <c r="F8" s="1">
        <v>600</v>
      </c>
      <c r="G8" s="1">
        <v>42</v>
      </c>
      <c r="H8" s="1"/>
      <c r="I8" s="8">
        <f t="shared" si="0"/>
        <v>25200</v>
      </c>
      <c r="J8" s="1">
        <v>3.5</v>
      </c>
      <c r="K8" s="1"/>
      <c r="L8" s="1"/>
      <c r="M8" s="1"/>
      <c r="N8" s="1"/>
    </row>
    <row r="9" spans="1:14" ht="15" customHeight="1" x14ac:dyDescent="0.2">
      <c r="A9" s="4">
        <v>45992</v>
      </c>
      <c r="B9" s="1" t="s">
        <v>14</v>
      </c>
      <c r="C9" s="1" t="s">
        <v>24</v>
      </c>
      <c r="D9" s="1">
        <v>2922</v>
      </c>
      <c r="E9" s="1" t="s">
        <v>67</v>
      </c>
      <c r="F9" s="1">
        <v>1000</v>
      </c>
      <c r="G9" s="1">
        <v>12</v>
      </c>
      <c r="H9" s="1">
        <v>960</v>
      </c>
      <c r="I9" s="8">
        <f t="shared" si="0"/>
        <v>12960</v>
      </c>
      <c r="J9" s="1">
        <v>1</v>
      </c>
      <c r="K9" s="1"/>
      <c r="L9" s="1"/>
      <c r="M9" s="1"/>
      <c r="N9" s="1" t="s">
        <v>77</v>
      </c>
    </row>
    <row r="10" spans="1:14" ht="15" customHeight="1" x14ac:dyDescent="0.2">
      <c r="A10" s="4">
        <v>45992</v>
      </c>
      <c r="B10" s="1" t="s">
        <v>14</v>
      </c>
      <c r="C10" s="1" t="s">
        <v>24</v>
      </c>
      <c r="D10" s="1">
        <v>3100</v>
      </c>
      <c r="E10" s="1" t="s">
        <v>78</v>
      </c>
      <c r="F10" s="1">
        <v>1200</v>
      </c>
      <c r="G10" s="1">
        <v>12</v>
      </c>
      <c r="H10" s="1"/>
      <c r="I10" s="8">
        <f t="shared" si="0"/>
        <v>14400</v>
      </c>
      <c r="J10" s="1"/>
      <c r="K10" s="1">
        <v>1</v>
      </c>
      <c r="L10" s="1"/>
      <c r="M10" s="1"/>
      <c r="N10" s="1" t="s">
        <v>79</v>
      </c>
    </row>
    <row r="11" spans="1:14" ht="15" customHeight="1" x14ac:dyDescent="0.2">
      <c r="A11" s="4">
        <v>45992</v>
      </c>
      <c r="B11" s="1" t="s">
        <v>14</v>
      </c>
      <c r="C11" s="1" t="s">
        <v>27</v>
      </c>
      <c r="D11" s="1">
        <v>3033</v>
      </c>
      <c r="E11" s="1" t="s">
        <v>64</v>
      </c>
      <c r="F11" s="1">
        <v>1000</v>
      </c>
      <c r="G11" s="1">
        <v>63</v>
      </c>
      <c r="H11" s="1"/>
      <c r="I11" s="8">
        <f t="shared" si="0"/>
        <v>63000</v>
      </c>
      <c r="J11" s="1">
        <v>1.6</v>
      </c>
      <c r="K11" s="1">
        <v>2</v>
      </c>
      <c r="L11" s="1"/>
      <c r="M11" s="1"/>
      <c r="N11" s="1" t="s">
        <v>80</v>
      </c>
    </row>
    <row r="12" spans="1:14" ht="15" customHeight="1" x14ac:dyDescent="0.2">
      <c r="A12" s="4">
        <v>45992</v>
      </c>
      <c r="B12" s="1" t="s">
        <v>14</v>
      </c>
      <c r="C12" s="1" t="s">
        <v>56</v>
      </c>
      <c r="D12" s="1">
        <v>2638</v>
      </c>
      <c r="E12" s="1" t="s">
        <v>66</v>
      </c>
      <c r="F12" s="1">
        <v>500</v>
      </c>
      <c r="G12" s="1">
        <v>46</v>
      </c>
      <c r="H12" s="1"/>
      <c r="I12" s="8">
        <f t="shared" si="0"/>
        <v>23000</v>
      </c>
      <c r="J12" s="1">
        <v>6.6</v>
      </c>
      <c r="K12" s="1">
        <v>5</v>
      </c>
      <c r="L12" s="1"/>
      <c r="M12" s="1">
        <v>33.5</v>
      </c>
      <c r="N12" s="1"/>
    </row>
    <row r="13" spans="1:14" ht="15" customHeight="1" x14ac:dyDescent="0.2">
      <c r="A13" s="4">
        <v>45992</v>
      </c>
      <c r="B13" s="1" t="s">
        <v>14</v>
      </c>
      <c r="C13" s="1" t="s">
        <v>56</v>
      </c>
      <c r="D13" s="1">
        <v>2861</v>
      </c>
      <c r="E13" s="1" t="s">
        <v>81</v>
      </c>
      <c r="F13" s="1">
        <v>400</v>
      </c>
      <c r="G13" s="1">
        <v>20</v>
      </c>
      <c r="H13" s="1"/>
      <c r="I13" s="8">
        <f t="shared" si="0"/>
        <v>8000</v>
      </c>
      <c r="J13" s="1">
        <v>3.4</v>
      </c>
      <c r="K13" s="1"/>
      <c r="L13" s="1"/>
      <c r="M13" s="1">
        <v>16</v>
      </c>
      <c r="N13" s="1"/>
    </row>
    <row r="14" spans="1:14" ht="15" customHeight="1" x14ac:dyDescent="0.2">
      <c r="A14" s="4">
        <v>45992</v>
      </c>
      <c r="B14" s="1" t="s">
        <v>14</v>
      </c>
      <c r="C14" s="1" t="s">
        <v>37</v>
      </c>
      <c r="D14" s="1">
        <v>2973</v>
      </c>
      <c r="E14" s="1" t="s">
        <v>68</v>
      </c>
      <c r="F14" s="1">
        <v>125</v>
      </c>
      <c r="G14" s="1">
        <v>5</v>
      </c>
      <c r="H14" s="1"/>
      <c r="I14" s="8">
        <f t="shared" si="0"/>
        <v>625</v>
      </c>
      <c r="J14" s="1"/>
      <c r="K14" s="1"/>
      <c r="L14" s="1"/>
      <c r="M14" s="1"/>
      <c r="N14" s="1"/>
    </row>
    <row r="15" spans="1:14" ht="15" customHeight="1" x14ac:dyDescent="0.2">
      <c r="A15" s="4">
        <v>45993</v>
      </c>
      <c r="B15" s="1" t="s">
        <v>40</v>
      </c>
      <c r="C15" s="1" t="s">
        <v>27</v>
      </c>
      <c r="D15" s="1">
        <v>3033</v>
      </c>
      <c r="E15" s="1" t="s">
        <v>82</v>
      </c>
      <c r="F15" s="1">
        <v>1000</v>
      </c>
      <c r="G15" s="1">
        <v>15</v>
      </c>
      <c r="H15" s="1"/>
      <c r="I15" s="8">
        <f t="shared" si="0"/>
        <v>15000</v>
      </c>
      <c r="J15" s="1">
        <v>1.3</v>
      </c>
      <c r="K15" s="1">
        <v>1.4</v>
      </c>
      <c r="L15" s="1"/>
      <c r="M15" s="1"/>
      <c r="N15" s="1"/>
    </row>
    <row r="16" spans="1:14" ht="15" customHeight="1" x14ac:dyDescent="0.2">
      <c r="A16" s="4">
        <v>45993</v>
      </c>
      <c r="B16" s="1" t="s">
        <v>40</v>
      </c>
      <c r="C16" s="1" t="s">
        <v>27</v>
      </c>
      <c r="D16" s="1">
        <v>3109</v>
      </c>
      <c r="E16" s="1" t="s">
        <v>83</v>
      </c>
      <c r="F16" s="1">
        <v>2000</v>
      </c>
      <c r="G16" s="1">
        <v>13</v>
      </c>
      <c r="H16" s="1">
        <v>700</v>
      </c>
      <c r="I16" s="8">
        <f t="shared" si="0"/>
        <v>26700</v>
      </c>
      <c r="J16" s="1">
        <v>1.4</v>
      </c>
      <c r="K16" s="1"/>
      <c r="L16" s="1"/>
      <c r="M16" s="1"/>
      <c r="N16" s="1" t="s">
        <v>84</v>
      </c>
    </row>
    <row r="17" spans="1:14" ht="15" customHeight="1" x14ac:dyDescent="0.2">
      <c r="A17" s="4">
        <v>45993</v>
      </c>
      <c r="B17" s="1" t="s">
        <v>40</v>
      </c>
      <c r="C17" s="1" t="s">
        <v>24</v>
      </c>
      <c r="D17" s="1">
        <v>2909</v>
      </c>
      <c r="E17" s="1" t="s">
        <v>78</v>
      </c>
      <c r="F17" s="1">
        <v>1200</v>
      </c>
      <c r="G17" s="1">
        <v>29</v>
      </c>
      <c r="H17" s="1">
        <v>510</v>
      </c>
      <c r="I17" s="8">
        <f t="shared" si="0"/>
        <v>35310</v>
      </c>
      <c r="J17" s="1">
        <v>1.8</v>
      </c>
      <c r="K17" s="1"/>
      <c r="L17" s="1"/>
      <c r="M17" s="1"/>
      <c r="N17" s="1"/>
    </row>
    <row r="18" spans="1:14" ht="15" customHeight="1" x14ac:dyDescent="0.2">
      <c r="A18" s="4">
        <v>45993</v>
      </c>
      <c r="B18" s="1" t="s">
        <v>40</v>
      </c>
      <c r="C18" s="1" t="s">
        <v>24</v>
      </c>
      <c r="D18" s="1">
        <v>2894</v>
      </c>
      <c r="E18" s="1" t="s">
        <v>85</v>
      </c>
      <c r="F18" s="1">
        <v>1000</v>
      </c>
      <c r="G18" s="1">
        <v>9</v>
      </c>
      <c r="H18" s="1"/>
      <c r="I18" s="8">
        <f t="shared" si="0"/>
        <v>9000</v>
      </c>
      <c r="J18" s="1">
        <v>2.2999999999999998</v>
      </c>
      <c r="K18" s="1">
        <v>2.15</v>
      </c>
      <c r="L18" s="1"/>
      <c r="M18" s="1"/>
      <c r="N18" s="1" t="s">
        <v>86</v>
      </c>
    </row>
    <row r="19" spans="1:14" ht="15" customHeight="1" x14ac:dyDescent="0.2">
      <c r="A19" s="4">
        <v>45993</v>
      </c>
      <c r="B19" s="1" t="s">
        <v>40</v>
      </c>
      <c r="C19" s="1" t="s">
        <v>87</v>
      </c>
      <c r="D19" s="1">
        <v>2879</v>
      </c>
      <c r="E19" s="1" t="s">
        <v>88</v>
      </c>
      <c r="F19" s="1">
        <v>500</v>
      </c>
      <c r="G19" s="1">
        <v>24</v>
      </c>
      <c r="H19" s="1">
        <v>380</v>
      </c>
      <c r="I19" s="8">
        <f t="shared" si="0"/>
        <v>12380</v>
      </c>
      <c r="J19" s="1">
        <v>1.4</v>
      </c>
      <c r="K19" s="1">
        <v>4.2</v>
      </c>
      <c r="L19" s="1"/>
      <c r="M19" s="1">
        <v>30.2</v>
      </c>
      <c r="N19" s="1"/>
    </row>
    <row r="20" spans="1:14" ht="15" customHeight="1" x14ac:dyDescent="0.2">
      <c r="A20" s="4">
        <v>45993</v>
      </c>
      <c r="B20" s="1" t="s">
        <v>40</v>
      </c>
      <c r="C20" s="1" t="s">
        <v>89</v>
      </c>
      <c r="D20" s="1">
        <v>3011</v>
      </c>
      <c r="E20" s="1" t="s">
        <v>90</v>
      </c>
      <c r="F20" s="1">
        <v>500</v>
      </c>
      <c r="G20" s="1">
        <v>84</v>
      </c>
      <c r="H20" s="1"/>
      <c r="I20" s="8">
        <f t="shared" si="0"/>
        <v>42000</v>
      </c>
      <c r="J20" s="1">
        <v>6.6</v>
      </c>
      <c r="K20" s="1">
        <v>10.6</v>
      </c>
      <c r="L20" s="1">
        <v>4.8</v>
      </c>
      <c r="M20" s="1">
        <v>100.1</v>
      </c>
      <c r="N20" s="1"/>
    </row>
    <row r="21" spans="1:14" ht="15" customHeight="1" x14ac:dyDescent="0.2">
      <c r="A21" s="4">
        <v>45993</v>
      </c>
      <c r="B21" s="1" t="s">
        <v>40</v>
      </c>
      <c r="C21" s="1" t="s">
        <v>15</v>
      </c>
      <c r="D21" s="1">
        <v>3004</v>
      </c>
      <c r="E21" s="1" t="s">
        <v>91</v>
      </c>
      <c r="F21" s="1">
        <v>1500</v>
      </c>
      <c r="G21" s="1">
        <v>16</v>
      </c>
      <c r="H21" s="1">
        <v>800</v>
      </c>
      <c r="I21" s="8">
        <f t="shared" si="0"/>
        <v>24800</v>
      </c>
      <c r="J21" s="1">
        <v>1.2</v>
      </c>
      <c r="K21" s="1">
        <v>1.6</v>
      </c>
      <c r="L21" s="1"/>
      <c r="M21" s="1">
        <v>0.7</v>
      </c>
      <c r="N21" s="1" t="s">
        <v>92</v>
      </c>
    </row>
    <row r="22" spans="1:14" ht="15" customHeight="1" x14ac:dyDescent="0.2">
      <c r="A22" s="4">
        <v>45993</v>
      </c>
      <c r="B22" s="1" t="s">
        <v>40</v>
      </c>
      <c r="C22" s="1" t="s">
        <v>15</v>
      </c>
      <c r="D22" s="1">
        <v>3005</v>
      </c>
      <c r="E22" s="1" t="s">
        <v>91</v>
      </c>
      <c r="F22" s="1">
        <v>1500</v>
      </c>
      <c r="G22" s="1">
        <v>14</v>
      </c>
      <c r="H22" s="1">
        <v>300</v>
      </c>
      <c r="I22" s="8">
        <f t="shared" si="0"/>
        <v>21300</v>
      </c>
      <c r="J22" s="1">
        <v>1.2</v>
      </c>
      <c r="K22" s="1"/>
      <c r="L22" s="1"/>
      <c r="M22" s="1">
        <v>0.7</v>
      </c>
      <c r="N22" s="1" t="s">
        <v>92</v>
      </c>
    </row>
    <row r="23" spans="1:14" ht="15" customHeight="1" x14ac:dyDescent="0.2">
      <c r="A23" s="4">
        <v>45993</v>
      </c>
      <c r="B23" s="1" t="s">
        <v>40</v>
      </c>
      <c r="C23" s="1" t="s">
        <v>15</v>
      </c>
      <c r="D23" s="1">
        <v>3006</v>
      </c>
      <c r="E23" s="1" t="s">
        <v>91</v>
      </c>
      <c r="F23" s="1">
        <v>1500</v>
      </c>
      <c r="G23" s="1">
        <v>1</v>
      </c>
      <c r="H23" s="1">
        <v>400</v>
      </c>
      <c r="I23" s="8">
        <f t="shared" si="0"/>
        <v>1900</v>
      </c>
      <c r="J23" s="1">
        <v>1</v>
      </c>
      <c r="K23" s="1"/>
      <c r="L23" s="1"/>
      <c r="M23" s="1"/>
      <c r="N23" s="1" t="s">
        <v>92</v>
      </c>
    </row>
    <row r="24" spans="1:14" x14ac:dyDescent="0.2">
      <c r="A24" s="4">
        <v>45993</v>
      </c>
      <c r="B24" s="1" t="s">
        <v>40</v>
      </c>
      <c r="C24" s="1" t="s">
        <v>15</v>
      </c>
      <c r="D24" s="1">
        <v>3007</v>
      </c>
      <c r="E24" s="1" t="s">
        <v>91</v>
      </c>
      <c r="F24" s="1">
        <v>1500</v>
      </c>
      <c r="G24" s="1">
        <v>14</v>
      </c>
      <c r="H24" s="1">
        <v>950</v>
      </c>
      <c r="I24" s="8">
        <f t="shared" si="0"/>
        <v>21950</v>
      </c>
      <c r="J24" s="1">
        <v>0.5</v>
      </c>
      <c r="K24" s="1"/>
      <c r="L24" s="1"/>
      <c r="M24" s="1">
        <v>0.6</v>
      </c>
      <c r="N24" s="1" t="s">
        <v>92</v>
      </c>
    </row>
    <row r="25" spans="1:14" x14ac:dyDescent="0.2">
      <c r="A25" s="4">
        <v>45993</v>
      </c>
      <c r="B25" s="1" t="s">
        <v>40</v>
      </c>
      <c r="C25" s="1" t="s">
        <v>15</v>
      </c>
      <c r="D25" s="1">
        <v>3215</v>
      </c>
      <c r="E25" s="1" t="s">
        <v>93</v>
      </c>
      <c r="F25" s="1">
        <v>600</v>
      </c>
      <c r="G25" s="1">
        <v>7</v>
      </c>
      <c r="H25" s="1"/>
      <c r="I25" s="8">
        <f t="shared" si="0"/>
        <v>4200</v>
      </c>
      <c r="J25" s="1">
        <v>2.2999999999999998</v>
      </c>
      <c r="K25" s="1"/>
      <c r="L25" s="1"/>
      <c r="M25" s="1"/>
      <c r="N25" s="1"/>
    </row>
    <row r="26" spans="1:14" x14ac:dyDescent="0.2">
      <c r="A26" s="4">
        <v>45993</v>
      </c>
      <c r="B26" s="1" t="s">
        <v>40</v>
      </c>
      <c r="C26" s="1" t="s">
        <v>20</v>
      </c>
      <c r="D26" s="1">
        <v>3195</v>
      </c>
      <c r="E26" s="1" t="s">
        <v>76</v>
      </c>
      <c r="F26" s="1">
        <v>600</v>
      </c>
      <c r="G26" s="1">
        <v>51</v>
      </c>
      <c r="H26" s="1">
        <v>180</v>
      </c>
      <c r="I26" s="8">
        <f t="shared" si="0"/>
        <v>30780</v>
      </c>
      <c r="J26" s="1">
        <v>1.7</v>
      </c>
      <c r="K26" s="1"/>
      <c r="L26" s="1"/>
      <c r="M26" s="1"/>
      <c r="N26" s="1"/>
    </row>
    <row r="27" spans="1:14" x14ac:dyDescent="0.2">
      <c r="A27" s="4">
        <v>45993</v>
      </c>
      <c r="B27" s="1" t="s">
        <v>40</v>
      </c>
      <c r="C27" s="1" t="s">
        <v>20</v>
      </c>
      <c r="D27" s="1">
        <v>3102</v>
      </c>
      <c r="E27" s="1" t="s">
        <v>94</v>
      </c>
      <c r="F27" s="1">
        <v>400</v>
      </c>
      <c r="G27" s="1">
        <v>18</v>
      </c>
      <c r="H27" s="1">
        <v>145</v>
      </c>
      <c r="I27" s="8">
        <f t="shared" si="0"/>
        <v>7345</v>
      </c>
      <c r="J27" s="1">
        <v>1.7</v>
      </c>
      <c r="K27" s="1"/>
      <c r="L27" s="1"/>
      <c r="M27" s="1"/>
      <c r="N27" s="1"/>
    </row>
    <row r="28" spans="1:14" ht="15" customHeight="1" x14ac:dyDescent="0.2">
      <c r="A28" s="4">
        <v>45993</v>
      </c>
      <c r="B28" s="1" t="s">
        <v>40</v>
      </c>
      <c r="C28" s="1" t="s">
        <v>20</v>
      </c>
      <c r="D28" s="1">
        <v>2965</v>
      </c>
      <c r="E28" s="1" t="s">
        <v>95</v>
      </c>
      <c r="F28" s="1">
        <v>250</v>
      </c>
      <c r="G28" s="1">
        <v>3</v>
      </c>
      <c r="H28" s="1"/>
      <c r="I28" s="8">
        <f t="shared" si="0"/>
        <v>750</v>
      </c>
      <c r="J28" s="1"/>
      <c r="K28" s="1"/>
      <c r="L28" s="1"/>
      <c r="M28" s="1"/>
      <c r="N28" s="1" t="s">
        <v>96</v>
      </c>
    </row>
    <row r="29" spans="1:14" x14ac:dyDescent="0.2">
      <c r="A29" s="4">
        <v>45993</v>
      </c>
      <c r="B29" s="1" t="s">
        <v>40</v>
      </c>
      <c r="C29" s="1" t="s">
        <v>37</v>
      </c>
      <c r="D29" s="1">
        <v>2973</v>
      </c>
      <c r="E29" s="1" t="s">
        <v>97</v>
      </c>
      <c r="F29" s="1">
        <v>125</v>
      </c>
      <c r="G29" s="1">
        <v>3</v>
      </c>
      <c r="H29" s="1"/>
      <c r="I29" s="8">
        <f t="shared" si="0"/>
        <v>375</v>
      </c>
      <c r="J29" s="10"/>
      <c r="K29" s="10"/>
      <c r="L29" s="10"/>
      <c r="M29" s="10"/>
      <c r="N29" s="11"/>
    </row>
    <row r="30" spans="1:14" x14ac:dyDescent="0.2">
      <c r="A30" s="4">
        <v>45994</v>
      </c>
      <c r="B30" s="1" t="s">
        <v>54</v>
      </c>
      <c r="C30" s="1" t="s">
        <v>15</v>
      </c>
      <c r="D30" s="1">
        <v>3215</v>
      </c>
      <c r="E30" s="1" t="s">
        <v>93</v>
      </c>
      <c r="F30" s="1">
        <v>600</v>
      </c>
      <c r="G30" s="1">
        <v>19</v>
      </c>
      <c r="H30" s="1"/>
      <c r="I30" s="9">
        <f t="shared" si="0"/>
        <v>11400</v>
      </c>
      <c r="J30" s="1">
        <v>11.3</v>
      </c>
      <c r="K30" s="1"/>
      <c r="L30" s="1"/>
      <c r="M30" s="1"/>
      <c r="N30" s="1"/>
    </row>
    <row r="31" spans="1:14" x14ac:dyDescent="0.2">
      <c r="A31" s="4">
        <v>45994</v>
      </c>
      <c r="B31" s="1" t="s">
        <v>54</v>
      </c>
      <c r="C31" s="1" t="s">
        <v>20</v>
      </c>
      <c r="D31" s="1">
        <v>2965</v>
      </c>
      <c r="E31" s="1" t="s">
        <v>95</v>
      </c>
      <c r="F31" s="1">
        <v>250</v>
      </c>
      <c r="G31" s="1">
        <v>13</v>
      </c>
      <c r="H31" s="1"/>
      <c r="I31" s="9">
        <f t="shared" si="0"/>
        <v>3250</v>
      </c>
      <c r="J31" s="1">
        <v>22.5</v>
      </c>
      <c r="K31" s="1"/>
      <c r="L31" s="1"/>
      <c r="M31" s="1"/>
      <c r="N31" s="1"/>
    </row>
    <row r="32" spans="1:14" x14ac:dyDescent="0.2">
      <c r="A32" s="4">
        <v>45994</v>
      </c>
      <c r="B32" s="1" t="s">
        <v>54</v>
      </c>
      <c r="C32" s="1" t="s">
        <v>24</v>
      </c>
      <c r="D32" s="1">
        <v>2894</v>
      </c>
      <c r="E32" s="1" t="s">
        <v>85</v>
      </c>
      <c r="F32" s="1">
        <v>1000</v>
      </c>
      <c r="G32" s="1">
        <v>25</v>
      </c>
      <c r="H32" s="1"/>
      <c r="I32" s="9">
        <f t="shared" si="0"/>
        <v>25000</v>
      </c>
      <c r="J32" s="1">
        <v>6.7</v>
      </c>
      <c r="K32" s="1"/>
      <c r="L32" s="1">
        <v>7.4</v>
      </c>
      <c r="M32" s="1"/>
      <c r="N32" s="1"/>
    </row>
    <row r="33" spans="1:14" x14ac:dyDescent="0.2">
      <c r="A33" s="4">
        <v>45994</v>
      </c>
      <c r="B33" s="1" t="s">
        <v>54</v>
      </c>
      <c r="C33" s="1" t="s">
        <v>27</v>
      </c>
      <c r="D33" s="1">
        <v>3034</v>
      </c>
      <c r="E33" s="1" t="s">
        <v>98</v>
      </c>
      <c r="F33" s="1">
        <v>1000</v>
      </c>
      <c r="G33" s="1">
        <v>59</v>
      </c>
      <c r="H33" s="1"/>
      <c r="I33" s="9">
        <f t="shared" si="0"/>
        <v>59000</v>
      </c>
      <c r="J33" s="1">
        <v>5.14</v>
      </c>
      <c r="K33" s="1"/>
      <c r="L33" s="1"/>
      <c r="M33" s="1"/>
      <c r="N33" s="1"/>
    </row>
    <row r="34" spans="1:14" x14ac:dyDescent="0.2">
      <c r="A34" s="4">
        <v>45994</v>
      </c>
      <c r="B34" s="1" t="s">
        <v>54</v>
      </c>
      <c r="C34" s="1" t="s">
        <v>56</v>
      </c>
      <c r="D34" s="1">
        <v>3011</v>
      </c>
      <c r="E34" s="1" t="s">
        <v>99</v>
      </c>
      <c r="F34" s="1">
        <v>500</v>
      </c>
      <c r="G34" s="1">
        <v>20</v>
      </c>
      <c r="H34" s="1">
        <v>300</v>
      </c>
      <c r="I34" s="9">
        <f t="shared" si="0"/>
        <v>10300</v>
      </c>
      <c r="J34" s="1"/>
      <c r="K34" s="1">
        <v>3.2</v>
      </c>
      <c r="L34" s="1"/>
      <c r="M34" s="1">
        <v>21</v>
      </c>
      <c r="N34" s="1"/>
    </row>
    <row r="35" spans="1:14" x14ac:dyDescent="0.2">
      <c r="A35" s="4">
        <v>45994</v>
      </c>
      <c r="B35" s="1" t="s">
        <v>54</v>
      </c>
      <c r="C35" s="1" t="s">
        <v>56</v>
      </c>
      <c r="D35" s="1">
        <v>3012</v>
      </c>
      <c r="E35" s="1" t="s">
        <v>100</v>
      </c>
      <c r="F35" s="1">
        <v>500</v>
      </c>
      <c r="G35" s="1">
        <v>48</v>
      </c>
      <c r="H35" s="1">
        <v>100</v>
      </c>
      <c r="I35" s="9">
        <f t="shared" si="0"/>
        <v>24100</v>
      </c>
      <c r="J35" s="1">
        <v>9.6</v>
      </c>
      <c r="K35" s="1">
        <v>15.7</v>
      </c>
      <c r="L35" s="1"/>
      <c r="M35" s="1">
        <v>95.8</v>
      </c>
      <c r="N35" s="1"/>
    </row>
    <row r="36" spans="1:14" x14ac:dyDescent="0.2">
      <c r="A36" s="4">
        <v>45994</v>
      </c>
      <c r="B36" s="1" t="s">
        <v>54</v>
      </c>
      <c r="C36" s="1" t="s">
        <v>15</v>
      </c>
      <c r="D36" s="1">
        <v>3030</v>
      </c>
      <c r="E36" s="1" t="s">
        <v>101</v>
      </c>
      <c r="F36" s="1">
        <v>500</v>
      </c>
      <c r="G36" s="1">
        <v>17</v>
      </c>
      <c r="H36" s="1"/>
      <c r="I36" s="9">
        <f t="shared" si="0"/>
        <v>8500</v>
      </c>
      <c r="J36" s="1">
        <v>2.8</v>
      </c>
      <c r="K36" s="1"/>
      <c r="L36" s="1"/>
      <c r="M36" s="1"/>
      <c r="N36" s="1"/>
    </row>
    <row r="37" spans="1:14" x14ac:dyDescent="0.2">
      <c r="A37" s="4">
        <v>45994</v>
      </c>
      <c r="B37" s="1" t="s">
        <v>54</v>
      </c>
      <c r="C37" s="1" t="s">
        <v>15</v>
      </c>
      <c r="D37" s="1">
        <v>3031</v>
      </c>
      <c r="E37" s="1" t="s">
        <v>102</v>
      </c>
      <c r="F37" s="1">
        <v>300</v>
      </c>
      <c r="G37" s="1">
        <v>35</v>
      </c>
      <c r="H37" s="1">
        <v>250</v>
      </c>
      <c r="I37" s="9">
        <f t="shared" si="0"/>
        <v>10750</v>
      </c>
      <c r="J37" s="1">
        <v>8.6</v>
      </c>
      <c r="K37" s="1"/>
      <c r="L37" s="1"/>
      <c r="M37" s="1"/>
      <c r="N37" s="1"/>
    </row>
    <row r="38" spans="1:14" x14ac:dyDescent="0.2">
      <c r="A38" s="4">
        <v>45994</v>
      </c>
      <c r="B38" s="1" t="s">
        <v>54</v>
      </c>
      <c r="C38" s="1" t="s">
        <v>56</v>
      </c>
      <c r="D38" s="1">
        <v>2877</v>
      </c>
      <c r="E38" s="1" t="s">
        <v>103</v>
      </c>
      <c r="F38" s="1">
        <v>500</v>
      </c>
      <c r="G38" s="1">
        <v>14</v>
      </c>
      <c r="H38" s="1">
        <v>400</v>
      </c>
      <c r="I38" s="9">
        <f t="shared" si="0"/>
        <v>7400</v>
      </c>
      <c r="J38" s="1">
        <v>2.2999999999999998</v>
      </c>
      <c r="K38" s="1">
        <v>1.1000000000000001</v>
      </c>
      <c r="L38" s="1"/>
      <c r="M38" s="1">
        <v>14.9</v>
      </c>
      <c r="N38" s="1"/>
    </row>
    <row r="39" spans="1:14" x14ac:dyDescent="0.2">
      <c r="A39" s="4">
        <v>45994</v>
      </c>
      <c r="B39" s="1" t="s">
        <v>54</v>
      </c>
      <c r="C39" s="1" t="s">
        <v>56</v>
      </c>
      <c r="D39" s="1">
        <v>2878</v>
      </c>
      <c r="E39" s="1" t="s">
        <v>103</v>
      </c>
      <c r="F39" s="1">
        <v>500</v>
      </c>
      <c r="G39" s="1">
        <v>20</v>
      </c>
      <c r="H39" s="1">
        <v>456</v>
      </c>
      <c r="I39" s="9">
        <f t="shared" si="0"/>
        <v>10456</v>
      </c>
      <c r="J39" s="1"/>
      <c r="K39" s="1">
        <v>11.4</v>
      </c>
      <c r="L39" s="1"/>
      <c r="M39" s="1">
        <v>22.2</v>
      </c>
      <c r="N39" s="1"/>
    </row>
    <row r="40" spans="1:14" x14ac:dyDescent="0.2">
      <c r="A40" s="4">
        <v>45994</v>
      </c>
      <c r="B40" s="1" t="s">
        <v>54</v>
      </c>
      <c r="C40" s="1" t="s">
        <v>15</v>
      </c>
      <c r="D40" s="1">
        <v>2863</v>
      </c>
      <c r="E40" s="1" t="s">
        <v>104</v>
      </c>
      <c r="F40" s="1">
        <v>1000</v>
      </c>
      <c r="G40" s="1">
        <v>1</v>
      </c>
      <c r="H40" s="1"/>
      <c r="I40" s="9">
        <f t="shared" si="0"/>
        <v>1000</v>
      </c>
      <c r="J40" s="1">
        <v>1.3</v>
      </c>
      <c r="K40" s="1"/>
      <c r="L40" s="1"/>
      <c r="M40" s="1"/>
      <c r="N40" s="1"/>
    </row>
    <row r="41" spans="1:14" x14ac:dyDescent="0.2">
      <c r="A41" s="4">
        <v>45994</v>
      </c>
      <c r="B41" s="1" t="s">
        <v>54</v>
      </c>
      <c r="C41" s="1" t="s">
        <v>15</v>
      </c>
      <c r="D41" s="1">
        <v>3146</v>
      </c>
      <c r="E41" s="1" t="s">
        <v>105</v>
      </c>
      <c r="F41" s="1">
        <v>600</v>
      </c>
      <c r="G41" s="1">
        <v>18</v>
      </c>
      <c r="H41" s="1">
        <v>200</v>
      </c>
      <c r="I41" s="9">
        <f t="shared" si="0"/>
        <v>11000</v>
      </c>
      <c r="J41" s="1">
        <v>1.3</v>
      </c>
      <c r="K41" s="1"/>
      <c r="L41" s="1"/>
      <c r="M41" s="1"/>
      <c r="N41" s="1"/>
    </row>
    <row r="42" spans="1:14" x14ac:dyDescent="0.2">
      <c r="A42" s="4">
        <v>45994</v>
      </c>
      <c r="B42" s="1" t="s">
        <v>54</v>
      </c>
      <c r="C42" s="1" t="s">
        <v>15</v>
      </c>
      <c r="D42" s="1">
        <v>3217</v>
      </c>
      <c r="E42" s="1" t="s">
        <v>106</v>
      </c>
      <c r="F42" s="1">
        <v>150</v>
      </c>
      <c r="G42" s="1">
        <v>24</v>
      </c>
      <c r="H42" s="1"/>
      <c r="I42" s="9">
        <f t="shared" si="0"/>
        <v>3600</v>
      </c>
      <c r="J42" s="1">
        <v>6.8</v>
      </c>
      <c r="K42" s="1"/>
      <c r="L42" s="1"/>
      <c r="M42" s="1"/>
      <c r="N42" s="1"/>
    </row>
    <row r="43" spans="1:14" x14ac:dyDescent="0.2">
      <c r="A43" s="4">
        <v>45994</v>
      </c>
      <c r="B43" s="1" t="s">
        <v>54</v>
      </c>
      <c r="C43" s="1" t="s">
        <v>56</v>
      </c>
      <c r="D43" s="1">
        <v>3000</v>
      </c>
      <c r="E43" s="1" t="s">
        <v>107</v>
      </c>
      <c r="F43" s="1">
        <v>500</v>
      </c>
      <c r="G43" s="1">
        <v>40</v>
      </c>
      <c r="H43" s="1"/>
      <c r="I43" s="9">
        <f t="shared" si="0"/>
        <v>20000</v>
      </c>
      <c r="J43" s="1"/>
      <c r="K43" s="1">
        <v>16.3</v>
      </c>
      <c r="L43" s="1"/>
      <c r="M43" s="1">
        <v>44.4</v>
      </c>
      <c r="N43" s="1"/>
    </row>
    <row r="44" spans="1:14" x14ac:dyDescent="0.2">
      <c r="A44" s="4">
        <v>45994</v>
      </c>
      <c r="B44" s="1" t="s">
        <v>54</v>
      </c>
      <c r="C44" s="1" t="s">
        <v>37</v>
      </c>
      <c r="D44" s="1">
        <v>2973</v>
      </c>
      <c r="E44" s="1" t="s">
        <v>68</v>
      </c>
      <c r="F44" s="1">
        <v>50</v>
      </c>
      <c r="G44" s="1">
        <v>1</v>
      </c>
      <c r="H44" s="1"/>
      <c r="I44" s="9">
        <f t="shared" ref="I44:I107" si="1">F44*G44+H44</f>
        <v>50</v>
      </c>
      <c r="J44" s="1"/>
      <c r="K44" s="1"/>
      <c r="L44" s="1"/>
      <c r="M44" s="1"/>
      <c r="N44" s="1"/>
    </row>
    <row r="45" spans="1:14" x14ac:dyDescent="0.2">
      <c r="A45" s="4">
        <v>45995</v>
      </c>
      <c r="B45" s="1" t="s">
        <v>14</v>
      </c>
      <c r="C45" s="1" t="s">
        <v>15</v>
      </c>
      <c r="D45" s="1">
        <v>3217</v>
      </c>
      <c r="E45" s="1" t="s">
        <v>106</v>
      </c>
      <c r="F45" s="1">
        <v>150</v>
      </c>
      <c r="G45" s="1">
        <v>98</v>
      </c>
      <c r="H45" s="1">
        <v>125</v>
      </c>
      <c r="I45" s="8">
        <f t="shared" si="1"/>
        <v>14825</v>
      </c>
      <c r="J45" s="1">
        <v>8</v>
      </c>
      <c r="K45" s="1"/>
      <c r="L45" s="1"/>
      <c r="M45" s="1"/>
      <c r="N45" s="1"/>
    </row>
    <row r="46" spans="1:14" x14ac:dyDescent="0.2">
      <c r="A46" s="4">
        <v>45995</v>
      </c>
      <c r="B46" s="1" t="s">
        <v>14</v>
      </c>
      <c r="C46" s="1" t="s">
        <v>15</v>
      </c>
      <c r="D46" s="1">
        <v>2768</v>
      </c>
      <c r="E46" s="1" t="s">
        <v>108</v>
      </c>
      <c r="F46" s="1">
        <v>1000</v>
      </c>
      <c r="G46" s="1">
        <v>10</v>
      </c>
      <c r="H46" s="1"/>
      <c r="I46" s="8">
        <f t="shared" si="1"/>
        <v>10000</v>
      </c>
      <c r="J46" s="1">
        <v>2</v>
      </c>
      <c r="K46" s="1"/>
      <c r="L46" s="1"/>
      <c r="M46" s="1">
        <v>1.4</v>
      </c>
      <c r="N46" s="1" t="s">
        <v>109</v>
      </c>
    </row>
    <row r="47" spans="1:14" x14ac:dyDescent="0.2">
      <c r="A47" s="4">
        <v>45995</v>
      </c>
      <c r="B47" s="1" t="s">
        <v>14</v>
      </c>
      <c r="C47" s="1" t="s">
        <v>20</v>
      </c>
      <c r="D47" s="1">
        <v>2965</v>
      </c>
      <c r="E47" s="1" t="s">
        <v>95</v>
      </c>
      <c r="F47" s="1">
        <v>250</v>
      </c>
      <c r="G47" s="1">
        <v>2</v>
      </c>
      <c r="H47" s="1"/>
      <c r="I47" s="8">
        <f t="shared" si="1"/>
        <v>500</v>
      </c>
      <c r="J47" s="1">
        <v>1.4</v>
      </c>
      <c r="K47" s="1"/>
      <c r="L47" s="1"/>
      <c r="M47" s="1"/>
      <c r="N47" s="1"/>
    </row>
    <row r="48" spans="1:14" x14ac:dyDescent="0.2">
      <c r="A48" s="4">
        <v>45995</v>
      </c>
      <c r="B48" s="1" t="s">
        <v>14</v>
      </c>
      <c r="C48" s="1" t="s">
        <v>20</v>
      </c>
      <c r="D48" s="1">
        <v>2966</v>
      </c>
      <c r="E48" s="1" t="s">
        <v>110</v>
      </c>
      <c r="F48" s="1">
        <v>300</v>
      </c>
      <c r="G48" s="1">
        <v>20</v>
      </c>
      <c r="H48" s="1">
        <v>180</v>
      </c>
      <c r="I48" s="8">
        <f t="shared" si="1"/>
        <v>6180</v>
      </c>
      <c r="J48" s="1">
        <v>5.8</v>
      </c>
      <c r="K48" s="1"/>
      <c r="L48" s="1"/>
      <c r="M48" s="1"/>
      <c r="N48" s="1"/>
    </row>
    <row r="49" spans="1:14" x14ac:dyDescent="0.2">
      <c r="A49" s="4">
        <v>45995</v>
      </c>
      <c r="B49" s="1" t="s">
        <v>14</v>
      </c>
      <c r="C49" s="1" t="s">
        <v>20</v>
      </c>
      <c r="D49" s="1">
        <v>3111</v>
      </c>
      <c r="E49" s="1" t="s">
        <v>111</v>
      </c>
      <c r="F49" s="1">
        <v>1500</v>
      </c>
      <c r="G49" s="1">
        <v>24</v>
      </c>
      <c r="H49" s="1"/>
      <c r="I49" s="8">
        <f t="shared" si="1"/>
        <v>36000</v>
      </c>
      <c r="J49" s="1">
        <v>1.4</v>
      </c>
      <c r="K49" s="1"/>
      <c r="L49" s="1"/>
      <c r="M49" s="1"/>
      <c r="N49" s="1"/>
    </row>
    <row r="50" spans="1:14" x14ac:dyDescent="0.2">
      <c r="A50" s="4">
        <v>45995</v>
      </c>
      <c r="B50" s="1" t="s">
        <v>14</v>
      </c>
      <c r="C50" s="1" t="s">
        <v>24</v>
      </c>
      <c r="D50" s="1">
        <v>2894</v>
      </c>
      <c r="E50" s="1" t="s">
        <v>85</v>
      </c>
      <c r="F50" s="1">
        <v>1000</v>
      </c>
      <c r="G50" s="1">
        <v>4</v>
      </c>
      <c r="H50" s="1">
        <v>400</v>
      </c>
      <c r="I50" s="8">
        <f t="shared" si="1"/>
        <v>4400</v>
      </c>
      <c r="J50" s="1">
        <v>2.4</v>
      </c>
      <c r="K50" s="1">
        <v>3.2</v>
      </c>
      <c r="L50" s="1"/>
      <c r="M50" s="1"/>
      <c r="N50" s="1"/>
    </row>
    <row r="51" spans="1:14" x14ac:dyDescent="0.2">
      <c r="A51" s="4">
        <v>45995</v>
      </c>
      <c r="B51" s="1" t="s">
        <v>14</v>
      </c>
      <c r="C51" s="1" t="s">
        <v>24</v>
      </c>
      <c r="D51" s="1">
        <v>2731</v>
      </c>
      <c r="E51" s="1" t="s">
        <v>112</v>
      </c>
      <c r="F51" s="1">
        <v>500</v>
      </c>
      <c r="G51" s="1">
        <v>41</v>
      </c>
      <c r="H51" s="1">
        <v>400</v>
      </c>
      <c r="I51" s="8">
        <f t="shared" si="1"/>
        <v>20900</v>
      </c>
      <c r="J51" s="1">
        <v>5.7</v>
      </c>
      <c r="K51" s="1">
        <v>11.9</v>
      </c>
      <c r="L51" s="1"/>
      <c r="M51" s="1"/>
      <c r="N51" s="1" t="s">
        <v>113</v>
      </c>
    </row>
    <row r="52" spans="1:14" x14ac:dyDescent="0.2">
      <c r="A52" s="4">
        <v>45995</v>
      </c>
      <c r="B52" s="1" t="s">
        <v>14</v>
      </c>
      <c r="C52" s="1" t="s">
        <v>24</v>
      </c>
      <c r="D52" s="1">
        <v>3100</v>
      </c>
      <c r="E52" s="1" t="s">
        <v>67</v>
      </c>
      <c r="F52" s="1">
        <v>1000</v>
      </c>
      <c r="G52" s="1">
        <v>6</v>
      </c>
      <c r="H52" s="1"/>
      <c r="I52" s="8">
        <f t="shared" si="1"/>
        <v>6000</v>
      </c>
      <c r="J52" s="1"/>
      <c r="K52" s="1"/>
      <c r="L52" s="1"/>
      <c r="M52" s="1"/>
      <c r="N52" s="1"/>
    </row>
    <row r="53" spans="1:14" x14ac:dyDescent="0.2">
      <c r="A53" s="4">
        <v>45995</v>
      </c>
      <c r="B53" s="1" t="s">
        <v>14</v>
      </c>
      <c r="C53" s="1" t="s">
        <v>27</v>
      </c>
      <c r="D53" s="1">
        <v>3034</v>
      </c>
      <c r="E53" s="1" t="s">
        <v>98</v>
      </c>
      <c r="F53" s="1">
        <v>1000</v>
      </c>
      <c r="G53" s="1">
        <v>26</v>
      </c>
      <c r="H53" s="1">
        <v>400</v>
      </c>
      <c r="I53" s="8">
        <f t="shared" si="1"/>
        <v>26400</v>
      </c>
      <c r="J53" s="1">
        <v>4.8</v>
      </c>
      <c r="K53" s="1"/>
      <c r="L53" s="1"/>
      <c r="M53" s="1"/>
      <c r="N53" s="1" t="s">
        <v>114</v>
      </c>
    </row>
    <row r="54" spans="1:14" x14ac:dyDescent="0.2">
      <c r="A54" s="4">
        <v>45995</v>
      </c>
      <c r="B54" s="1" t="s">
        <v>14</v>
      </c>
      <c r="C54" s="1" t="s">
        <v>27</v>
      </c>
      <c r="D54" s="1">
        <v>3033</v>
      </c>
      <c r="E54" s="1" t="s">
        <v>64</v>
      </c>
      <c r="F54" s="1">
        <v>1500</v>
      </c>
      <c r="G54" s="1">
        <v>13</v>
      </c>
      <c r="H54" s="1"/>
      <c r="I54" s="8">
        <f t="shared" si="1"/>
        <v>19500</v>
      </c>
      <c r="J54" s="1">
        <v>5.2</v>
      </c>
      <c r="K54" s="1"/>
      <c r="L54" s="1"/>
      <c r="M54" s="1"/>
      <c r="N54" s="1" t="s">
        <v>114</v>
      </c>
    </row>
    <row r="55" spans="1:14" x14ac:dyDescent="0.2">
      <c r="A55" s="4">
        <v>45995</v>
      </c>
      <c r="B55" s="1" t="s">
        <v>14</v>
      </c>
      <c r="C55" s="1" t="s">
        <v>56</v>
      </c>
      <c r="D55" s="1">
        <v>3000</v>
      </c>
      <c r="E55" s="1" t="s">
        <v>107</v>
      </c>
      <c r="F55" s="1">
        <v>400</v>
      </c>
      <c r="G55" s="1">
        <v>30</v>
      </c>
      <c r="H55" s="1"/>
      <c r="I55" s="8">
        <f t="shared" si="1"/>
        <v>12000</v>
      </c>
      <c r="J55" s="1">
        <v>5.5</v>
      </c>
      <c r="K55" s="1"/>
      <c r="L55" s="1"/>
      <c r="M55" s="1">
        <v>26.9</v>
      </c>
      <c r="N55" s="1"/>
    </row>
    <row r="56" spans="1:14" x14ac:dyDescent="0.2">
      <c r="A56" s="4">
        <v>45995</v>
      </c>
      <c r="B56" s="1" t="s">
        <v>14</v>
      </c>
      <c r="C56" s="1" t="s">
        <v>56</v>
      </c>
      <c r="D56" s="1">
        <v>3151</v>
      </c>
      <c r="E56" s="1" t="s">
        <v>115</v>
      </c>
      <c r="F56" s="1">
        <v>400</v>
      </c>
      <c r="G56" s="1">
        <v>30</v>
      </c>
      <c r="H56" s="1"/>
      <c r="I56" s="8">
        <f t="shared" si="1"/>
        <v>12000</v>
      </c>
      <c r="J56" s="1">
        <v>2.6</v>
      </c>
      <c r="K56" s="1"/>
      <c r="L56" s="1"/>
      <c r="M56" s="1">
        <v>33.200000000000003</v>
      </c>
      <c r="N56" s="1" t="s">
        <v>116</v>
      </c>
    </row>
    <row r="57" spans="1:14" x14ac:dyDescent="0.2">
      <c r="A57" s="4">
        <v>45995</v>
      </c>
      <c r="B57" s="1" t="s">
        <v>14</v>
      </c>
      <c r="C57" s="1" t="s">
        <v>56</v>
      </c>
      <c r="D57" s="1">
        <v>2991</v>
      </c>
      <c r="E57" s="1" t="s">
        <v>117</v>
      </c>
      <c r="F57" s="1">
        <v>500</v>
      </c>
      <c r="G57" s="1">
        <v>18</v>
      </c>
      <c r="H57" s="1">
        <v>420</v>
      </c>
      <c r="I57" s="8">
        <f t="shared" si="1"/>
        <v>9420</v>
      </c>
      <c r="J57" s="1">
        <v>2</v>
      </c>
      <c r="K57" s="1"/>
      <c r="L57" s="1"/>
      <c r="M57" s="1">
        <v>18.100000000000001</v>
      </c>
      <c r="N57" s="1" t="s">
        <v>118</v>
      </c>
    </row>
    <row r="58" spans="1:14" x14ac:dyDescent="0.2">
      <c r="A58" s="4">
        <v>45995</v>
      </c>
      <c r="B58" s="1" t="s">
        <v>14</v>
      </c>
      <c r="C58" s="1" t="s">
        <v>56</v>
      </c>
      <c r="D58" s="1">
        <v>2962</v>
      </c>
      <c r="E58" s="1" t="s">
        <v>119</v>
      </c>
      <c r="F58" s="1">
        <v>400</v>
      </c>
      <c r="G58" s="1">
        <v>18</v>
      </c>
      <c r="H58" s="1"/>
      <c r="I58" s="8">
        <f t="shared" si="1"/>
        <v>7200</v>
      </c>
      <c r="J58" s="1">
        <v>6</v>
      </c>
      <c r="K58" s="1">
        <v>3.8</v>
      </c>
      <c r="L58" s="1"/>
      <c r="M58" s="1">
        <v>18.2</v>
      </c>
      <c r="N58" s="1"/>
    </row>
    <row r="59" spans="1:14" x14ac:dyDescent="0.2">
      <c r="A59" s="4">
        <v>45995</v>
      </c>
      <c r="B59" s="1" t="s">
        <v>14</v>
      </c>
      <c r="C59" s="1" t="s">
        <v>37</v>
      </c>
      <c r="D59" s="1">
        <v>2973</v>
      </c>
      <c r="E59" s="1" t="s">
        <v>68</v>
      </c>
      <c r="F59" s="1">
        <v>125</v>
      </c>
      <c r="G59" s="1">
        <v>6</v>
      </c>
      <c r="H59" s="1">
        <v>75</v>
      </c>
      <c r="I59" s="8">
        <f t="shared" si="1"/>
        <v>825</v>
      </c>
      <c r="J59" s="1"/>
      <c r="K59" s="1"/>
      <c r="L59" s="1"/>
      <c r="M59" s="1"/>
      <c r="N59" s="1"/>
    </row>
    <row r="60" spans="1:14" x14ac:dyDescent="0.2">
      <c r="A60" s="4">
        <v>45996</v>
      </c>
      <c r="B60" s="1" t="s">
        <v>40</v>
      </c>
      <c r="C60" s="1" t="s">
        <v>24</v>
      </c>
      <c r="D60" s="1">
        <v>3100</v>
      </c>
      <c r="E60" s="1" t="s">
        <v>67</v>
      </c>
      <c r="F60" s="1">
        <v>1000</v>
      </c>
      <c r="G60" s="1">
        <v>4</v>
      </c>
      <c r="H60" s="1">
        <v>450</v>
      </c>
      <c r="I60" s="8">
        <f t="shared" si="1"/>
        <v>4450</v>
      </c>
      <c r="J60" s="1">
        <v>0.3</v>
      </c>
      <c r="K60" s="1"/>
      <c r="L60" s="1"/>
      <c r="M60" s="1"/>
      <c r="N60" s="1"/>
    </row>
    <row r="61" spans="1:14" x14ac:dyDescent="0.2">
      <c r="A61" s="4">
        <v>45996</v>
      </c>
      <c r="B61" s="1" t="s">
        <v>40</v>
      </c>
      <c r="C61" s="1" t="s">
        <v>24</v>
      </c>
      <c r="D61" s="1">
        <v>2844</v>
      </c>
      <c r="E61" s="1" t="s">
        <v>120</v>
      </c>
      <c r="F61" s="1">
        <v>1800</v>
      </c>
      <c r="G61" s="1">
        <v>48</v>
      </c>
      <c r="H61" s="1">
        <v>500</v>
      </c>
      <c r="I61" s="8">
        <f t="shared" si="1"/>
        <v>86900</v>
      </c>
      <c r="J61" s="1">
        <v>1.2</v>
      </c>
      <c r="K61" s="1">
        <v>8.4</v>
      </c>
      <c r="L61" s="1"/>
      <c r="M61" s="1"/>
      <c r="N61" s="1"/>
    </row>
    <row r="62" spans="1:14" x14ac:dyDescent="0.2">
      <c r="A62" s="4">
        <v>45996</v>
      </c>
      <c r="B62" s="1" t="s">
        <v>40</v>
      </c>
      <c r="C62" s="1" t="s">
        <v>121</v>
      </c>
      <c r="D62" s="1">
        <v>3033</v>
      </c>
      <c r="E62" s="1" t="s">
        <v>64</v>
      </c>
      <c r="F62" s="1">
        <v>1500</v>
      </c>
      <c r="G62" s="1">
        <v>31</v>
      </c>
      <c r="H62" s="1"/>
      <c r="I62" s="8">
        <f t="shared" si="1"/>
        <v>46500</v>
      </c>
      <c r="J62" s="1"/>
      <c r="K62" s="1"/>
      <c r="L62" s="1"/>
      <c r="M62" s="1"/>
      <c r="N62" s="1" t="s">
        <v>122</v>
      </c>
    </row>
    <row r="63" spans="1:14" x14ac:dyDescent="0.2">
      <c r="A63" s="4">
        <v>45996</v>
      </c>
      <c r="B63" s="1" t="s">
        <v>40</v>
      </c>
      <c r="C63" s="1" t="s">
        <v>20</v>
      </c>
      <c r="D63" s="1">
        <v>3111</v>
      </c>
      <c r="E63" s="1" t="s">
        <v>123</v>
      </c>
      <c r="F63" s="1">
        <v>1500</v>
      </c>
      <c r="G63" s="1">
        <v>80</v>
      </c>
      <c r="H63" s="1"/>
      <c r="I63" s="8">
        <f t="shared" si="1"/>
        <v>120000</v>
      </c>
      <c r="J63" s="1">
        <v>7.3</v>
      </c>
      <c r="K63" s="1"/>
      <c r="L63" s="1"/>
      <c r="M63" s="1"/>
      <c r="N63" s="1"/>
    </row>
    <row r="64" spans="1:14" x14ac:dyDescent="0.2">
      <c r="A64" s="4">
        <v>45996</v>
      </c>
      <c r="B64" s="1" t="s">
        <v>40</v>
      </c>
      <c r="C64" s="1" t="s">
        <v>15</v>
      </c>
      <c r="D64" s="1">
        <v>2768</v>
      </c>
      <c r="E64" s="1" t="s">
        <v>108</v>
      </c>
      <c r="F64" s="1">
        <v>1000</v>
      </c>
      <c r="G64" s="1">
        <v>28</v>
      </c>
      <c r="H64" s="1"/>
      <c r="I64" s="8">
        <f t="shared" si="1"/>
        <v>28000</v>
      </c>
      <c r="J64" s="1">
        <v>3</v>
      </c>
      <c r="K64" s="1">
        <v>4.2</v>
      </c>
      <c r="L64" s="1"/>
      <c r="M64" s="1">
        <v>4</v>
      </c>
      <c r="N64" s="1" t="s">
        <v>124</v>
      </c>
    </row>
    <row r="65" spans="1:14" x14ac:dyDescent="0.2">
      <c r="A65" s="4">
        <v>45996</v>
      </c>
      <c r="B65" s="1" t="s">
        <v>40</v>
      </c>
      <c r="C65" s="1" t="s">
        <v>15</v>
      </c>
      <c r="D65" s="1">
        <v>2863</v>
      </c>
      <c r="E65" s="1" t="s">
        <v>104</v>
      </c>
      <c r="F65" s="1">
        <v>1000</v>
      </c>
      <c r="G65" s="1">
        <v>3</v>
      </c>
      <c r="H65" s="1">
        <v>500</v>
      </c>
      <c r="I65" s="8">
        <f t="shared" si="1"/>
        <v>3500</v>
      </c>
      <c r="J65" s="1">
        <v>1.2</v>
      </c>
      <c r="K65" s="1"/>
      <c r="L65" s="1"/>
      <c r="M65" s="1"/>
      <c r="N65" s="1" t="s">
        <v>125</v>
      </c>
    </row>
    <row r="66" spans="1:14" x14ac:dyDescent="0.2">
      <c r="A66" s="4">
        <v>45996</v>
      </c>
      <c r="B66" s="1" t="s">
        <v>40</v>
      </c>
      <c r="C66" s="1" t="s">
        <v>37</v>
      </c>
      <c r="D66" s="1">
        <v>2973</v>
      </c>
      <c r="E66" s="1" t="s">
        <v>126</v>
      </c>
      <c r="F66" s="1">
        <v>125</v>
      </c>
      <c r="G66" s="1">
        <v>3</v>
      </c>
      <c r="H66" s="1"/>
      <c r="I66" s="8">
        <f t="shared" si="1"/>
        <v>375</v>
      </c>
      <c r="J66" s="1"/>
      <c r="K66" s="1"/>
      <c r="L66" s="1"/>
      <c r="M66" s="1"/>
      <c r="N66" s="1"/>
    </row>
    <row r="67" spans="1:14" ht="17" x14ac:dyDescent="0.2">
      <c r="A67" s="4">
        <v>45997</v>
      </c>
      <c r="B67" s="1" t="s">
        <v>54</v>
      </c>
      <c r="C67" s="1" t="s">
        <v>15</v>
      </c>
      <c r="D67" s="1">
        <v>2873</v>
      </c>
      <c r="E67" s="1" t="s">
        <v>127</v>
      </c>
      <c r="F67" s="1">
        <v>500</v>
      </c>
      <c r="G67" s="1">
        <v>17</v>
      </c>
      <c r="H67" s="1">
        <v>235</v>
      </c>
      <c r="I67" s="8">
        <f t="shared" si="1"/>
        <v>8735</v>
      </c>
      <c r="J67" s="12">
        <v>7.1</v>
      </c>
      <c r="K67" s="13">
        <v>9.6</v>
      </c>
      <c r="L67" s="16"/>
      <c r="M67" s="16"/>
      <c r="N67" s="16"/>
    </row>
    <row r="68" spans="1:14" ht="17" x14ac:dyDescent="0.2">
      <c r="A68" s="4">
        <v>45997</v>
      </c>
      <c r="B68" s="1" t="s">
        <v>54</v>
      </c>
      <c r="C68" s="1" t="s">
        <v>20</v>
      </c>
      <c r="D68" s="1">
        <v>3111</v>
      </c>
      <c r="E68" s="1" t="s">
        <v>128</v>
      </c>
      <c r="F68" s="1">
        <v>1500</v>
      </c>
      <c r="G68" s="1">
        <v>21</v>
      </c>
      <c r="H68" s="1">
        <v>1100</v>
      </c>
      <c r="I68" s="8">
        <f t="shared" si="1"/>
        <v>32600</v>
      </c>
      <c r="J68" s="17"/>
      <c r="K68" s="15"/>
      <c r="L68" s="14">
        <v>23.9</v>
      </c>
      <c r="M68" s="15"/>
      <c r="N68" s="15"/>
    </row>
    <row r="69" spans="1:14" x14ac:dyDescent="0.2">
      <c r="A69" s="4">
        <v>45997</v>
      </c>
      <c r="B69" s="1" t="s">
        <v>54</v>
      </c>
      <c r="C69" s="1" t="s">
        <v>27</v>
      </c>
      <c r="D69" s="1">
        <v>3033</v>
      </c>
      <c r="E69" s="1" t="s">
        <v>64</v>
      </c>
      <c r="F69" s="1">
        <v>1500</v>
      </c>
      <c r="G69" s="1">
        <v>19</v>
      </c>
      <c r="H69" s="1">
        <v>300</v>
      </c>
      <c r="I69" s="8">
        <f t="shared" si="1"/>
        <v>28800</v>
      </c>
      <c r="J69" s="1">
        <v>3</v>
      </c>
      <c r="K69" s="1"/>
      <c r="L69" s="1"/>
      <c r="M69" s="1"/>
      <c r="N69" s="1"/>
    </row>
    <row r="70" spans="1:14" x14ac:dyDescent="0.2">
      <c r="A70" s="4">
        <v>45997</v>
      </c>
      <c r="B70" s="1" t="s">
        <v>54</v>
      </c>
      <c r="C70" s="1" t="s">
        <v>24</v>
      </c>
      <c r="D70" s="1">
        <v>2792</v>
      </c>
      <c r="E70" s="1" t="s">
        <v>129</v>
      </c>
      <c r="F70" s="1">
        <v>500</v>
      </c>
      <c r="G70" s="1">
        <v>36</v>
      </c>
      <c r="H70" s="1">
        <v>150</v>
      </c>
      <c r="I70" s="8">
        <f t="shared" si="1"/>
        <v>18150</v>
      </c>
      <c r="J70" s="1">
        <v>21.6</v>
      </c>
      <c r="K70" s="1">
        <v>16.100000000000001</v>
      </c>
      <c r="L70" s="1"/>
      <c r="M70" s="1">
        <v>8.9</v>
      </c>
      <c r="N70" s="1"/>
    </row>
    <row r="71" spans="1:14" x14ac:dyDescent="0.2">
      <c r="A71" s="4">
        <v>45997</v>
      </c>
      <c r="B71" s="1" t="s">
        <v>54</v>
      </c>
      <c r="C71" s="1" t="s">
        <v>33</v>
      </c>
      <c r="D71" s="1">
        <v>2890</v>
      </c>
      <c r="E71" s="1" t="s">
        <v>130</v>
      </c>
      <c r="F71" s="1">
        <v>500</v>
      </c>
      <c r="G71" s="1">
        <v>40</v>
      </c>
      <c r="H71" s="1"/>
      <c r="I71" s="8">
        <f t="shared" si="1"/>
        <v>20000</v>
      </c>
      <c r="J71" s="1">
        <v>4</v>
      </c>
      <c r="K71" s="1">
        <v>2.7</v>
      </c>
      <c r="L71" s="1"/>
      <c r="M71" s="1">
        <v>21.8</v>
      </c>
      <c r="N71" s="1"/>
    </row>
    <row r="72" spans="1:14" x14ac:dyDescent="0.2">
      <c r="A72" s="4">
        <v>45997</v>
      </c>
      <c r="B72" s="1" t="s">
        <v>54</v>
      </c>
      <c r="C72" s="1" t="s">
        <v>15</v>
      </c>
      <c r="D72" s="1">
        <v>2921</v>
      </c>
      <c r="E72" s="1" t="s">
        <v>131</v>
      </c>
      <c r="F72" s="1">
        <v>500</v>
      </c>
      <c r="G72" s="1">
        <v>12</v>
      </c>
      <c r="H72" s="1">
        <v>300</v>
      </c>
      <c r="I72" s="8">
        <f t="shared" si="1"/>
        <v>6300</v>
      </c>
      <c r="J72" s="1"/>
      <c r="K72" s="1"/>
      <c r="L72" s="1"/>
      <c r="M72" s="1"/>
      <c r="N72" s="1"/>
    </row>
    <row r="73" spans="1:14" x14ac:dyDescent="0.2">
      <c r="A73" s="4">
        <v>45997</v>
      </c>
      <c r="B73" s="1" t="s">
        <v>54</v>
      </c>
      <c r="C73" s="1" t="s">
        <v>15</v>
      </c>
      <c r="D73" s="1">
        <v>3083</v>
      </c>
      <c r="E73" s="1" t="s">
        <v>132</v>
      </c>
      <c r="F73" s="1">
        <v>500</v>
      </c>
      <c r="G73" s="1">
        <v>19</v>
      </c>
      <c r="H73" s="1"/>
      <c r="I73" s="8">
        <f t="shared" si="1"/>
        <v>9500</v>
      </c>
      <c r="J73" s="1">
        <v>5.4</v>
      </c>
      <c r="K73" s="1"/>
      <c r="L73" s="1"/>
      <c r="M73" s="1"/>
      <c r="N73" s="1"/>
    </row>
    <row r="74" spans="1:14" x14ac:dyDescent="0.2">
      <c r="A74" s="4">
        <v>45997</v>
      </c>
      <c r="B74" s="1" t="s">
        <v>54</v>
      </c>
      <c r="C74" s="1" t="s">
        <v>15</v>
      </c>
      <c r="D74" s="1">
        <v>3067</v>
      </c>
      <c r="E74" s="1" t="s">
        <v>133</v>
      </c>
      <c r="F74" s="1">
        <v>250</v>
      </c>
      <c r="G74" s="1">
        <v>28</v>
      </c>
      <c r="H74" s="1"/>
      <c r="I74" s="8">
        <f t="shared" si="1"/>
        <v>7000</v>
      </c>
      <c r="J74" s="1">
        <v>11.6</v>
      </c>
      <c r="K74" s="1"/>
      <c r="L74" s="1"/>
      <c r="M74" s="1"/>
      <c r="N74" s="1"/>
    </row>
    <row r="75" spans="1:14" x14ac:dyDescent="0.2">
      <c r="A75" s="4">
        <v>45997</v>
      </c>
      <c r="B75" s="1" t="s">
        <v>54</v>
      </c>
      <c r="C75" s="1" t="s">
        <v>15</v>
      </c>
      <c r="D75" s="1">
        <v>3056</v>
      </c>
      <c r="E75" s="1" t="s">
        <v>134</v>
      </c>
      <c r="F75" s="1">
        <v>250</v>
      </c>
      <c r="G75" s="1">
        <v>3</v>
      </c>
      <c r="H75" s="1">
        <v>30</v>
      </c>
      <c r="I75" s="8">
        <f t="shared" si="1"/>
        <v>780</v>
      </c>
      <c r="J75" s="1">
        <v>3.1</v>
      </c>
      <c r="K75" s="1"/>
      <c r="L75" s="1"/>
      <c r="M75" s="1"/>
      <c r="N75" s="1" t="s">
        <v>92</v>
      </c>
    </row>
    <row r="76" spans="1:14" x14ac:dyDescent="0.2">
      <c r="A76" s="4">
        <v>45997</v>
      </c>
      <c r="B76" s="1" t="s">
        <v>54</v>
      </c>
      <c r="C76" s="1" t="s">
        <v>15</v>
      </c>
      <c r="D76" s="1">
        <v>3057</v>
      </c>
      <c r="E76" s="1" t="s">
        <v>135</v>
      </c>
      <c r="F76" s="1">
        <v>500</v>
      </c>
      <c r="G76" s="1">
        <v>1</v>
      </c>
      <c r="H76" s="1">
        <v>400</v>
      </c>
      <c r="I76" s="8">
        <f t="shared" si="1"/>
        <v>900</v>
      </c>
      <c r="J76" s="1">
        <v>4.8</v>
      </c>
      <c r="K76" s="1"/>
      <c r="L76" s="1"/>
      <c r="M76" s="1"/>
      <c r="N76" s="1" t="s">
        <v>92</v>
      </c>
    </row>
    <row r="77" spans="1:14" x14ac:dyDescent="0.2">
      <c r="A77" s="4">
        <v>45997</v>
      </c>
      <c r="B77" s="1" t="s">
        <v>54</v>
      </c>
      <c r="C77" s="1" t="s">
        <v>20</v>
      </c>
      <c r="D77" s="1">
        <v>3232</v>
      </c>
      <c r="E77" s="1" t="s">
        <v>136</v>
      </c>
      <c r="F77" s="1">
        <v>300</v>
      </c>
      <c r="G77" s="1">
        <v>6</v>
      </c>
      <c r="H77" s="1">
        <v>180</v>
      </c>
      <c r="I77" s="8">
        <f t="shared" si="1"/>
        <v>1980</v>
      </c>
      <c r="J77" s="1">
        <v>4.8</v>
      </c>
      <c r="K77" s="1"/>
      <c r="L77" s="1"/>
      <c r="M77" s="1"/>
      <c r="N77" s="1"/>
    </row>
    <row r="78" spans="1:14" x14ac:dyDescent="0.2">
      <c r="A78" s="4">
        <v>45997</v>
      </c>
      <c r="B78" s="1" t="s">
        <v>54</v>
      </c>
      <c r="C78" s="1" t="s">
        <v>20</v>
      </c>
      <c r="D78" s="1">
        <v>3164</v>
      </c>
      <c r="E78" s="1" t="s">
        <v>137</v>
      </c>
      <c r="F78" s="1">
        <v>500</v>
      </c>
      <c r="G78" s="1">
        <v>30</v>
      </c>
      <c r="H78" s="1">
        <v>150</v>
      </c>
      <c r="I78" s="8">
        <f t="shared" si="1"/>
        <v>15150</v>
      </c>
      <c r="J78" s="1">
        <v>8.6999999999999993</v>
      </c>
      <c r="K78" s="1"/>
      <c r="L78" s="1"/>
      <c r="M78" s="1"/>
      <c r="N78" s="1"/>
    </row>
    <row r="79" spans="1:14" x14ac:dyDescent="0.2">
      <c r="A79" s="4">
        <v>45997</v>
      </c>
      <c r="B79" s="1" t="s">
        <v>54</v>
      </c>
      <c r="C79" s="1" t="s">
        <v>24</v>
      </c>
      <c r="D79" s="1">
        <v>3142</v>
      </c>
      <c r="E79" s="1" t="s">
        <v>138</v>
      </c>
      <c r="F79" s="1">
        <v>1200</v>
      </c>
      <c r="G79" s="1">
        <v>17</v>
      </c>
      <c r="H79" s="1"/>
      <c r="I79" s="8">
        <f t="shared" si="1"/>
        <v>20400</v>
      </c>
      <c r="J79" s="1">
        <v>0.8</v>
      </c>
      <c r="K79" s="1"/>
      <c r="L79" s="1"/>
      <c r="M79" s="1"/>
      <c r="N79" s="1"/>
    </row>
    <row r="80" spans="1:14" x14ac:dyDescent="0.2">
      <c r="A80" s="4">
        <v>45997</v>
      </c>
      <c r="B80" s="1" t="s">
        <v>54</v>
      </c>
      <c r="C80" s="1" t="s">
        <v>27</v>
      </c>
      <c r="D80" s="1">
        <v>2899</v>
      </c>
      <c r="E80" s="1" t="s">
        <v>139</v>
      </c>
      <c r="F80" s="1">
        <v>5000</v>
      </c>
      <c r="G80" s="1">
        <v>11</v>
      </c>
      <c r="H80" s="1"/>
      <c r="I80" s="8">
        <f t="shared" si="1"/>
        <v>55000</v>
      </c>
      <c r="J80" s="1">
        <v>1</v>
      </c>
      <c r="K80" s="1"/>
      <c r="L80" s="1"/>
      <c r="M80" s="1"/>
      <c r="N80" s="1"/>
    </row>
    <row r="81" spans="1:14" x14ac:dyDescent="0.2">
      <c r="A81" s="4">
        <v>45997</v>
      </c>
      <c r="B81" s="1" t="s">
        <v>54</v>
      </c>
      <c r="C81" s="1" t="s">
        <v>33</v>
      </c>
      <c r="D81" s="1">
        <v>2891</v>
      </c>
      <c r="E81" s="1" t="s">
        <v>140</v>
      </c>
      <c r="F81" s="1">
        <v>500</v>
      </c>
      <c r="G81" s="1">
        <v>23</v>
      </c>
      <c r="H81" s="1">
        <v>400</v>
      </c>
      <c r="I81" s="8">
        <f t="shared" si="1"/>
        <v>11900</v>
      </c>
      <c r="J81" s="1">
        <v>1.2</v>
      </c>
      <c r="K81" s="1">
        <v>2.2999999999999998</v>
      </c>
      <c r="L81" s="1"/>
      <c r="M81" s="1">
        <v>25.2</v>
      </c>
      <c r="N81" s="1"/>
    </row>
    <row r="82" spans="1:14" x14ac:dyDescent="0.2">
      <c r="A82" s="4">
        <v>45997</v>
      </c>
      <c r="B82" s="1" t="s">
        <v>54</v>
      </c>
      <c r="C82" s="1" t="s">
        <v>33</v>
      </c>
      <c r="D82" s="1">
        <v>2913</v>
      </c>
      <c r="E82" s="1" t="s">
        <v>141</v>
      </c>
      <c r="F82" s="1">
        <v>500</v>
      </c>
      <c r="G82" s="1">
        <v>35</v>
      </c>
      <c r="H82" s="1">
        <v>200</v>
      </c>
      <c r="I82" s="8">
        <f t="shared" si="1"/>
        <v>17700</v>
      </c>
      <c r="J82" s="1">
        <v>2.7</v>
      </c>
      <c r="K82" s="1">
        <v>5</v>
      </c>
      <c r="L82" s="1"/>
      <c r="M82" s="1">
        <v>47</v>
      </c>
      <c r="N82" s="1"/>
    </row>
    <row r="83" spans="1:14" x14ac:dyDescent="0.2">
      <c r="A83" s="4">
        <v>45997</v>
      </c>
      <c r="B83" s="1" t="s">
        <v>54</v>
      </c>
      <c r="C83" s="1" t="s">
        <v>33</v>
      </c>
      <c r="D83" s="1">
        <v>3135</v>
      </c>
      <c r="E83" s="1" t="s">
        <v>142</v>
      </c>
      <c r="F83" s="1">
        <v>400</v>
      </c>
      <c r="G83" s="1">
        <v>14</v>
      </c>
      <c r="H83" s="1"/>
      <c r="I83" s="8">
        <f t="shared" si="1"/>
        <v>5600</v>
      </c>
      <c r="J83" s="1">
        <v>1.4</v>
      </c>
      <c r="K83" s="1">
        <v>2.2999999999999998</v>
      </c>
      <c r="L83" s="1"/>
      <c r="M83" s="1">
        <v>17.7</v>
      </c>
      <c r="N83" s="1"/>
    </row>
    <row r="84" spans="1:14" x14ac:dyDescent="0.2">
      <c r="A84" s="4">
        <v>45997</v>
      </c>
      <c r="B84" s="1" t="s">
        <v>54</v>
      </c>
      <c r="C84" s="1" t="s">
        <v>37</v>
      </c>
      <c r="D84" s="1">
        <v>2973</v>
      </c>
      <c r="E84" s="1" t="s">
        <v>126</v>
      </c>
      <c r="F84" s="1">
        <v>125</v>
      </c>
      <c r="G84" s="1">
        <v>1</v>
      </c>
      <c r="H84" s="1"/>
      <c r="I84" s="8">
        <f t="shared" si="1"/>
        <v>125</v>
      </c>
      <c r="J84" s="1"/>
      <c r="K84" s="1"/>
      <c r="L84" s="1"/>
      <c r="M84" s="1"/>
      <c r="N84" s="1"/>
    </row>
    <row r="85" spans="1:14" x14ac:dyDescent="0.2">
      <c r="A85" s="4">
        <v>45997</v>
      </c>
      <c r="B85" s="1" t="s">
        <v>54</v>
      </c>
      <c r="C85" s="1" t="s">
        <v>20</v>
      </c>
      <c r="D85" s="1">
        <v>3044</v>
      </c>
      <c r="E85" s="1" t="s">
        <v>143</v>
      </c>
      <c r="F85" s="1">
        <v>300</v>
      </c>
      <c r="G85" s="1">
        <v>3</v>
      </c>
      <c r="H85" s="1"/>
      <c r="I85" s="8">
        <f t="shared" si="1"/>
        <v>900</v>
      </c>
      <c r="J85" s="1">
        <v>2.9</v>
      </c>
      <c r="K85" s="1"/>
      <c r="L85" s="1"/>
      <c r="M85" s="1"/>
      <c r="N85" s="1"/>
    </row>
    <row r="86" spans="1:14" x14ac:dyDescent="0.2">
      <c r="A86" s="4">
        <v>45998</v>
      </c>
      <c r="B86" s="1" t="s">
        <v>14</v>
      </c>
      <c r="C86" s="1" t="s">
        <v>15</v>
      </c>
      <c r="D86" s="1">
        <v>3111</v>
      </c>
      <c r="E86" s="1" t="s">
        <v>111</v>
      </c>
      <c r="F86" s="1">
        <v>1000</v>
      </c>
      <c r="G86" s="1">
        <v>5</v>
      </c>
      <c r="H86" s="1"/>
      <c r="I86" s="8">
        <f t="shared" si="1"/>
        <v>5000</v>
      </c>
      <c r="J86" s="1">
        <v>3.6</v>
      </c>
      <c r="K86" s="1"/>
      <c r="L86" s="1"/>
      <c r="M86" s="1"/>
      <c r="N86" s="1"/>
    </row>
    <row r="87" spans="1:14" x14ac:dyDescent="0.2">
      <c r="A87" s="4">
        <v>45998</v>
      </c>
      <c r="B87" s="1" t="s">
        <v>14</v>
      </c>
      <c r="C87" s="1" t="s">
        <v>15</v>
      </c>
      <c r="D87" s="1">
        <v>2863</v>
      </c>
      <c r="E87" s="1" t="s">
        <v>104</v>
      </c>
      <c r="F87" s="1">
        <v>1000</v>
      </c>
      <c r="G87" s="1">
        <v>2</v>
      </c>
      <c r="H87" s="1"/>
      <c r="I87" s="8">
        <f t="shared" si="1"/>
        <v>2000</v>
      </c>
      <c r="J87" s="1">
        <v>1.1000000000000001</v>
      </c>
      <c r="K87" s="1"/>
      <c r="L87" s="1"/>
      <c r="M87" s="1"/>
      <c r="N87" s="1" t="s">
        <v>144</v>
      </c>
    </row>
    <row r="88" spans="1:14" x14ac:dyDescent="0.2">
      <c r="A88" s="4">
        <v>45998</v>
      </c>
      <c r="B88" s="1" t="s">
        <v>14</v>
      </c>
      <c r="C88" s="1" t="s">
        <v>15</v>
      </c>
      <c r="D88" s="1">
        <v>3058</v>
      </c>
      <c r="E88" s="1" t="s">
        <v>145</v>
      </c>
      <c r="F88" s="1">
        <v>500</v>
      </c>
      <c r="G88" s="1">
        <v>20</v>
      </c>
      <c r="H88" s="1">
        <v>450</v>
      </c>
      <c r="I88" s="8">
        <f t="shared" si="1"/>
        <v>10450</v>
      </c>
      <c r="J88" s="1">
        <v>6.7</v>
      </c>
      <c r="K88" s="1"/>
      <c r="L88" s="1"/>
      <c r="M88" s="1">
        <v>1.1000000000000001</v>
      </c>
      <c r="N88" s="1" t="s">
        <v>124</v>
      </c>
    </row>
    <row r="89" spans="1:14" x14ac:dyDescent="0.2">
      <c r="A89" s="4">
        <v>45998</v>
      </c>
      <c r="B89" s="1" t="s">
        <v>14</v>
      </c>
      <c r="C89" s="1" t="s">
        <v>15</v>
      </c>
      <c r="D89" s="1">
        <v>3101</v>
      </c>
      <c r="E89" s="1" t="s">
        <v>146</v>
      </c>
      <c r="F89" s="1">
        <v>300</v>
      </c>
      <c r="G89" s="1">
        <v>78</v>
      </c>
      <c r="H89" s="1"/>
      <c r="I89" s="8">
        <f t="shared" si="1"/>
        <v>23400</v>
      </c>
      <c r="J89" s="1">
        <v>24.7</v>
      </c>
      <c r="K89" s="1"/>
      <c r="L89" s="1"/>
      <c r="M89" s="1"/>
      <c r="N89" s="1"/>
    </row>
    <row r="90" spans="1:14" x14ac:dyDescent="0.2">
      <c r="A90" s="4">
        <v>45998</v>
      </c>
      <c r="B90" s="1" t="s">
        <v>14</v>
      </c>
      <c r="C90" s="1" t="s">
        <v>20</v>
      </c>
      <c r="D90" s="1">
        <v>3044</v>
      </c>
      <c r="E90" s="1" t="s">
        <v>143</v>
      </c>
      <c r="F90" s="1">
        <v>300</v>
      </c>
      <c r="G90" s="1">
        <v>20</v>
      </c>
      <c r="H90" s="1">
        <v>140</v>
      </c>
      <c r="I90" s="8">
        <f t="shared" si="1"/>
        <v>6140</v>
      </c>
      <c r="J90" s="1">
        <v>4</v>
      </c>
      <c r="K90" s="1"/>
      <c r="L90" s="1"/>
      <c r="M90" s="1"/>
      <c r="N90" s="1" t="s">
        <v>147</v>
      </c>
    </row>
    <row r="91" spans="1:14" x14ac:dyDescent="0.2">
      <c r="A91" s="4">
        <v>45998</v>
      </c>
      <c r="B91" s="1" t="s">
        <v>14</v>
      </c>
      <c r="C91" s="1" t="s">
        <v>20</v>
      </c>
      <c r="D91" s="1">
        <v>3090</v>
      </c>
      <c r="E91" s="1" t="s">
        <v>143</v>
      </c>
      <c r="F91" s="1">
        <v>500</v>
      </c>
      <c r="G91" s="1">
        <v>13</v>
      </c>
      <c r="H91" s="1">
        <v>290</v>
      </c>
      <c r="I91" s="8">
        <f t="shared" si="1"/>
        <v>6790</v>
      </c>
      <c r="J91" s="1">
        <v>3.7</v>
      </c>
      <c r="K91" s="1"/>
      <c r="L91" s="1"/>
      <c r="M91" s="1"/>
      <c r="N91" s="1" t="s">
        <v>148</v>
      </c>
    </row>
    <row r="92" spans="1:14" x14ac:dyDescent="0.2">
      <c r="A92" s="4">
        <v>45998</v>
      </c>
      <c r="B92" s="1" t="s">
        <v>14</v>
      </c>
      <c r="C92" s="1" t="s">
        <v>24</v>
      </c>
      <c r="D92" s="1">
        <v>3142</v>
      </c>
      <c r="E92" s="1" t="s">
        <v>138</v>
      </c>
      <c r="F92" s="1">
        <v>1200</v>
      </c>
      <c r="G92" s="1">
        <v>17</v>
      </c>
      <c r="H92" s="1">
        <v>1000</v>
      </c>
      <c r="I92" s="8">
        <f t="shared" si="1"/>
        <v>21400</v>
      </c>
      <c r="J92" s="1">
        <v>1.7</v>
      </c>
      <c r="K92" s="1"/>
      <c r="L92" s="1"/>
      <c r="M92" s="1"/>
      <c r="N92" s="1" t="s">
        <v>149</v>
      </c>
    </row>
    <row r="93" spans="1:14" x14ac:dyDescent="0.2">
      <c r="A93" s="4">
        <v>45998</v>
      </c>
      <c r="B93" s="1" t="s">
        <v>14</v>
      </c>
      <c r="C93" s="1" t="s">
        <v>24</v>
      </c>
      <c r="D93" s="1">
        <v>3143</v>
      </c>
      <c r="E93" s="1" t="s">
        <v>150</v>
      </c>
      <c r="F93" s="1">
        <v>1000</v>
      </c>
      <c r="G93" s="1">
        <v>20</v>
      </c>
      <c r="H93" s="1"/>
      <c r="I93" s="8">
        <f t="shared" si="1"/>
        <v>20000</v>
      </c>
      <c r="J93" s="1">
        <v>0.8</v>
      </c>
      <c r="K93" s="1"/>
      <c r="L93" s="1">
        <v>2.2999999999999998</v>
      </c>
      <c r="M93" s="1"/>
      <c r="N93" s="1" t="s">
        <v>149</v>
      </c>
    </row>
    <row r="94" spans="1:14" x14ac:dyDescent="0.2">
      <c r="A94" s="4">
        <v>45998</v>
      </c>
      <c r="B94" s="1" t="s">
        <v>14</v>
      </c>
      <c r="C94" s="1" t="s">
        <v>24</v>
      </c>
      <c r="D94" s="1">
        <v>3258</v>
      </c>
      <c r="E94" s="1" t="s">
        <v>151</v>
      </c>
      <c r="F94" s="1">
        <v>1000</v>
      </c>
      <c r="G94" s="1">
        <v>34</v>
      </c>
      <c r="H94" s="1"/>
      <c r="I94" s="8">
        <f t="shared" si="1"/>
        <v>34000</v>
      </c>
      <c r="J94" s="1">
        <v>2.4</v>
      </c>
      <c r="K94" s="1">
        <v>3.8</v>
      </c>
      <c r="L94" s="1"/>
      <c r="M94" s="1"/>
      <c r="N94" s="1" t="s">
        <v>152</v>
      </c>
    </row>
    <row r="95" spans="1:14" x14ac:dyDescent="0.2">
      <c r="A95" s="4">
        <v>45998</v>
      </c>
      <c r="B95" s="1" t="s">
        <v>14</v>
      </c>
      <c r="C95" s="1" t="s">
        <v>27</v>
      </c>
      <c r="D95" s="1">
        <v>2899</v>
      </c>
      <c r="E95" s="1" t="s">
        <v>139</v>
      </c>
      <c r="F95" s="1">
        <v>5000</v>
      </c>
      <c r="G95" s="1">
        <v>15</v>
      </c>
      <c r="H95" s="1"/>
      <c r="I95" s="8">
        <f t="shared" si="1"/>
        <v>75000</v>
      </c>
      <c r="J95" s="1">
        <v>2</v>
      </c>
      <c r="K95" s="1"/>
      <c r="L95" s="1"/>
      <c r="M95" s="1"/>
      <c r="N95" s="1"/>
    </row>
    <row r="96" spans="1:14" x14ac:dyDescent="0.2">
      <c r="A96" s="4">
        <v>45998</v>
      </c>
      <c r="B96" s="1" t="s">
        <v>14</v>
      </c>
      <c r="C96" s="1" t="s">
        <v>33</v>
      </c>
      <c r="D96" s="1">
        <v>3135</v>
      </c>
      <c r="E96" s="1" t="s">
        <v>142</v>
      </c>
      <c r="F96" s="1">
        <v>400</v>
      </c>
      <c r="G96" s="1">
        <v>27</v>
      </c>
      <c r="H96" s="1"/>
      <c r="I96" s="8">
        <f t="shared" si="1"/>
        <v>10800</v>
      </c>
      <c r="J96" s="1">
        <v>4.4000000000000004</v>
      </c>
      <c r="K96" s="1">
        <v>51</v>
      </c>
      <c r="L96" s="1"/>
      <c r="M96" s="1">
        <v>41.4</v>
      </c>
      <c r="N96" s="1" t="s">
        <v>153</v>
      </c>
    </row>
    <row r="97" spans="1:14" x14ac:dyDescent="0.2">
      <c r="A97" s="4">
        <v>45998</v>
      </c>
      <c r="B97" s="1" t="s">
        <v>14</v>
      </c>
      <c r="C97" s="1" t="s">
        <v>33</v>
      </c>
      <c r="D97" s="1">
        <v>3136</v>
      </c>
      <c r="E97" s="1" t="s">
        <v>154</v>
      </c>
      <c r="F97" s="1">
        <v>300</v>
      </c>
      <c r="G97" s="1">
        <v>88</v>
      </c>
      <c r="H97" s="1">
        <v>170</v>
      </c>
      <c r="I97" s="8">
        <f t="shared" si="1"/>
        <v>26570</v>
      </c>
      <c r="J97" s="1">
        <v>20</v>
      </c>
      <c r="K97" s="1">
        <v>16.399999999999999</v>
      </c>
      <c r="L97" s="1"/>
      <c r="M97" s="1">
        <v>129.69999999999999</v>
      </c>
      <c r="N97" s="1"/>
    </row>
    <row r="98" spans="1:14" x14ac:dyDescent="0.2">
      <c r="A98" s="4">
        <v>45998</v>
      </c>
      <c r="B98" s="1" t="s">
        <v>14</v>
      </c>
      <c r="C98" s="1" t="s">
        <v>33</v>
      </c>
      <c r="D98" s="1">
        <v>3134</v>
      </c>
      <c r="E98" s="1" t="s">
        <v>155</v>
      </c>
      <c r="F98" s="1">
        <v>400</v>
      </c>
      <c r="G98" s="1">
        <v>26</v>
      </c>
      <c r="H98" s="1"/>
      <c r="I98" s="8">
        <f t="shared" si="1"/>
        <v>10400</v>
      </c>
      <c r="J98" s="1">
        <v>5</v>
      </c>
      <c r="K98" s="1"/>
      <c r="L98" s="1"/>
      <c r="M98" s="1">
        <v>22.5</v>
      </c>
      <c r="N98" s="1"/>
    </row>
    <row r="99" spans="1:14" x14ac:dyDescent="0.2">
      <c r="A99" s="4">
        <v>45998</v>
      </c>
      <c r="B99" s="1" t="s">
        <v>14</v>
      </c>
      <c r="C99" s="1" t="s">
        <v>37</v>
      </c>
      <c r="D99" s="1">
        <v>2973</v>
      </c>
      <c r="E99" s="1" t="s">
        <v>126</v>
      </c>
      <c r="F99" s="1">
        <v>125</v>
      </c>
      <c r="G99" s="1">
        <v>6</v>
      </c>
      <c r="H99" s="1">
        <v>50</v>
      </c>
      <c r="I99" s="8">
        <f t="shared" si="1"/>
        <v>800</v>
      </c>
      <c r="J99" s="1"/>
      <c r="K99" s="1"/>
      <c r="L99" s="1"/>
      <c r="M99" s="1"/>
      <c r="N99" s="1"/>
    </row>
    <row r="100" spans="1:14" x14ac:dyDescent="0.2">
      <c r="A100" s="4">
        <v>45999</v>
      </c>
      <c r="B100" s="1" t="s">
        <v>40</v>
      </c>
      <c r="C100" s="18" t="s">
        <v>27</v>
      </c>
      <c r="D100" s="18">
        <v>2899</v>
      </c>
      <c r="E100" s="18" t="s">
        <v>139</v>
      </c>
      <c r="F100" s="18">
        <v>5000</v>
      </c>
      <c r="G100" s="18">
        <v>17</v>
      </c>
      <c r="H100" s="18"/>
      <c r="I100" s="8">
        <f t="shared" si="1"/>
        <v>85000</v>
      </c>
      <c r="J100" s="18">
        <v>0.1</v>
      </c>
      <c r="K100" s="18">
        <v>2</v>
      </c>
      <c r="L100" s="18"/>
      <c r="M100" s="18"/>
      <c r="N100" s="18"/>
    </row>
    <row r="101" spans="1:14" x14ac:dyDescent="0.2">
      <c r="A101" s="4">
        <v>45999</v>
      </c>
      <c r="B101" s="1" t="s">
        <v>40</v>
      </c>
      <c r="C101" s="18" t="s">
        <v>24</v>
      </c>
      <c r="D101" s="18">
        <v>3258</v>
      </c>
      <c r="E101" s="18" t="s">
        <v>156</v>
      </c>
      <c r="F101" s="18">
        <v>1000</v>
      </c>
      <c r="G101" s="18">
        <v>71</v>
      </c>
      <c r="H101" s="18"/>
      <c r="I101" s="8">
        <f t="shared" si="1"/>
        <v>71000</v>
      </c>
      <c r="J101" s="18">
        <v>0.3</v>
      </c>
      <c r="K101" s="18">
        <v>9.6</v>
      </c>
      <c r="L101" s="18"/>
      <c r="M101" s="18"/>
      <c r="N101" s="18" t="s">
        <v>157</v>
      </c>
    </row>
    <row r="102" spans="1:14" x14ac:dyDescent="0.2">
      <c r="A102" s="4">
        <v>45999</v>
      </c>
      <c r="B102" s="1" t="s">
        <v>40</v>
      </c>
      <c r="C102" s="18" t="s">
        <v>15</v>
      </c>
      <c r="D102" s="18">
        <v>3101</v>
      </c>
      <c r="E102" s="18" t="s">
        <v>158</v>
      </c>
      <c r="F102" s="18">
        <v>300</v>
      </c>
      <c r="G102" s="18">
        <v>23</v>
      </c>
      <c r="H102" s="18">
        <v>70</v>
      </c>
      <c r="I102" s="8">
        <f t="shared" si="1"/>
        <v>6970</v>
      </c>
      <c r="J102" s="18">
        <v>2.7</v>
      </c>
      <c r="K102" s="18"/>
      <c r="L102" s="18"/>
      <c r="M102" s="18"/>
      <c r="N102" s="18"/>
    </row>
    <row r="103" spans="1:14" x14ac:dyDescent="0.2">
      <c r="A103" s="4">
        <v>45999</v>
      </c>
      <c r="B103" s="1" t="s">
        <v>40</v>
      </c>
      <c r="C103" s="18" t="s">
        <v>15</v>
      </c>
      <c r="D103" s="18">
        <v>3176</v>
      </c>
      <c r="E103" s="18" t="s">
        <v>159</v>
      </c>
      <c r="F103" s="18">
        <v>1000</v>
      </c>
      <c r="G103" s="18">
        <v>42</v>
      </c>
      <c r="H103" s="18">
        <v>700</v>
      </c>
      <c r="I103" s="8">
        <f t="shared" si="1"/>
        <v>42700</v>
      </c>
      <c r="J103" s="18">
        <v>2.5</v>
      </c>
      <c r="K103" s="18"/>
      <c r="L103" s="18"/>
      <c r="M103" s="18"/>
      <c r="N103" s="18"/>
    </row>
    <row r="104" spans="1:14" x14ac:dyDescent="0.2">
      <c r="A104" s="4">
        <v>45999</v>
      </c>
      <c r="B104" s="1" t="s">
        <v>40</v>
      </c>
      <c r="C104" s="18" t="s">
        <v>87</v>
      </c>
      <c r="D104" s="18">
        <v>3134</v>
      </c>
      <c r="E104" s="18" t="s">
        <v>160</v>
      </c>
      <c r="F104" s="18">
        <v>400</v>
      </c>
      <c r="G104" s="18">
        <v>25</v>
      </c>
      <c r="H104" s="18">
        <v>100</v>
      </c>
      <c r="I104" s="8">
        <f t="shared" si="1"/>
        <v>10100</v>
      </c>
      <c r="J104" s="18">
        <v>1.1000000000000001</v>
      </c>
      <c r="K104" s="18">
        <v>1.3</v>
      </c>
      <c r="L104" s="18"/>
      <c r="M104" s="18">
        <v>24.7</v>
      </c>
      <c r="N104" s="18"/>
    </row>
    <row r="105" spans="1:14" x14ac:dyDescent="0.2">
      <c r="A105" s="4">
        <v>45999</v>
      </c>
      <c r="B105" s="1" t="s">
        <v>40</v>
      </c>
      <c r="C105" s="18" t="s">
        <v>87</v>
      </c>
      <c r="D105" s="18">
        <v>3071</v>
      </c>
      <c r="E105" s="18" t="s">
        <v>161</v>
      </c>
      <c r="F105" s="18">
        <v>500</v>
      </c>
      <c r="G105" s="18">
        <v>126</v>
      </c>
      <c r="H105" s="18"/>
      <c r="I105" s="8">
        <f t="shared" si="1"/>
        <v>63000</v>
      </c>
      <c r="J105" s="18">
        <v>7.1</v>
      </c>
      <c r="K105" s="18">
        <v>13.9</v>
      </c>
      <c r="L105" s="18"/>
      <c r="M105" s="18">
        <v>178.1</v>
      </c>
      <c r="N105" s="18"/>
    </row>
    <row r="106" spans="1:14" x14ac:dyDescent="0.2">
      <c r="A106" s="4">
        <v>45999</v>
      </c>
      <c r="B106" s="1" t="s">
        <v>40</v>
      </c>
      <c r="C106" s="18" t="s">
        <v>15</v>
      </c>
      <c r="D106" s="18">
        <v>2972</v>
      </c>
      <c r="E106" s="18" t="s">
        <v>162</v>
      </c>
      <c r="F106" s="18">
        <v>125</v>
      </c>
      <c r="G106" s="18">
        <v>16</v>
      </c>
      <c r="H106" s="18">
        <v>35</v>
      </c>
      <c r="I106" s="8">
        <f t="shared" si="1"/>
        <v>2035</v>
      </c>
      <c r="J106" s="18">
        <v>2</v>
      </c>
      <c r="K106" s="18"/>
      <c r="L106" s="18"/>
      <c r="M106" s="18"/>
      <c r="N106" s="18"/>
    </row>
    <row r="107" spans="1:14" x14ac:dyDescent="0.2">
      <c r="A107" s="4">
        <v>45999</v>
      </c>
      <c r="B107" s="1" t="s">
        <v>40</v>
      </c>
      <c r="C107" s="18" t="s">
        <v>15</v>
      </c>
      <c r="D107" s="18">
        <v>2863</v>
      </c>
      <c r="E107" s="18" t="s">
        <v>104</v>
      </c>
      <c r="F107" s="18">
        <v>2000</v>
      </c>
      <c r="G107" s="18">
        <v>3</v>
      </c>
      <c r="H107" s="18"/>
      <c r="I107" s="8">
        <f t="shared" si="1"/>
        <v>6000</v>
      </c>
      <c r="J107" s="18">
        <v>0.5</v>
      </c>
      <c r="K107" s="18"/>
      <c r="L107" s="18"/>
      <c r="M107" s="18"/>
      <c r="N107" s="18" t="s">
        <v>163</v>
      </c>
    </row>
    <row r="108" spans="1:14" x14ac:dyDescent="0.2">
      <c r="A108" s="4">
        <v>45999</v>
      </c>
      <c r="B108" s="1" t="s">
        <v>40</v>
      </c>
      <c r="C108" s="18" t="s">
        <v>20</v>
      </c>
      <c r="D108" s="18">
        <v>3140</v>
      </c>
      <c r="E108" s="18" t="s">
        <v>164</v>
      </c>
      <c r="F108" s="18">
        <v>1500</v>
      </c>
      <c r="G108" s="18">
        <v>14</v>
      </c>
      <c r="H108" s="18">
        <v>260</v>
      </c>
      <c r="I108" s="8">
        <f t="shared" ref="I108:I171" si="2">F108*G108+H108</f>
        <v>21260</v>
      </c>
      <c r="J108" s="18">
        <v>1.5</v>
      </c>
      <c r="K108" s="18"/>
      <c r="L108" s="18"/>
      <c r="M108" s="18"/>
      <c r="N108" s="18"/>
    </row>
    <row r="109" spans="1:14" x14ac:dyDescent="0.2">
      <c r="A109" s="4">
        <v>45999</v>
      </c>
      <c r="B109" s="1" t="s">
        <v>40</v>
      </c>
      <c r="C109" s="18" t="s">
        <v>20</v>
      </c>
      <c r="D109" s="18">
        <v>3050</v>
      </c>
      <c r="E109" s="18" t="s">
        <v>165</v>
      </c>
      <c r="F109" s="18">
        <v>1200</v>
      </c>
      <c r="G109" s="18">
        <v>32</v>
      </c>
      <c r="H109" s="18">
        <v>250</v>
      </c>
      <c r="I109" s="8">
        <f t="shared" si="2"/>
        <v>38650</v>
      </c>
      <c r="J109" s="18">
        <v>1.7</v>
      </c>
      <c r="K109" s="18"/>
      <c r="L109" s="18"/>
      <c r="M109" s="18"/>
      <c r="N109" s="18" t="s">
        <v>166</v>
      </c>
    </row>
    <row r="110" spans="1:14" x14ac:dyDescent="0.2">
      <c r="A110" s="4">
        <v>45999</v>
      </c>
      <c r="B110" s="1" t="s">
        <v>40</v>
      </c>
      <c r="C110" s="18" t="s">
        <v>20</v>
      </c>
      <c r="D110" s="18">
        <v>3218</v>
      </c>
      <c r="E110" s="18" t="s">
        <v>167</v>
      </c>
      <c r="F110" s="18">
        <v>500</v>
      </c>
      <c r="G110" s="18">
        <v>20</v>
      </c>
      <c r="H110" s="18"/>
      <c r="I110" s="8">
        <f t="shared" si="2"/>
        <v>10000</v>
      </c>
      <c r="J110" s="18">
        <v>0.9</v>
      </c>
      <c r="K110" s="18"/>
      <c r="L110" s="18"/>
      <c r="M110" s="18"/>
      <c r="N110" s="18"/>
    </row>
    <row r="111" spans="1:14" x14ac:dyDescent="0.2">
      <c r="A111" s="4">
        <v>45999</v>
      </c>
      <c r="B111" s="1" t="s">
        <v>40</v>
      </c>
      <c r="C111" s="18" t="s">
        <v>20</v>
      </c>
      <c r="D111" s="18">
        <v>3219</v>
      </c>
      <c r="E111" s="18" t="s">
        <v>168</v>
      </c>
      <c r="F111" s="18">
        <v>500</v>
      </c>
      <c r="G111" s="18">
        <v>16</v>
      </c>
      <c r="H111" s="18"/>
      <c r="I111" s="8">
        <f t="shared" si="2"/>
        <v>8000</v>
      </c>
      <c r="J111" s="18">
        <v>1.3</v>
      </c>
      <c r="K111" s="18"/>
      <c r="L111" s="18"/>
      <c r="M111" s="18"/>
      <c r="N111" s="18"/>
    </row>
    <row r="112" spans="1:14" x14ac:dyDescent="0.2">
      <c r="A112" s="4">
        <v>45999</v>
      </c>
      <c r="B112" s="1" t="s">
        <v>40</v>
      </c>
      <c r="C112" s="18" t="s">
        <v>37</v>
      </c>
      <c r="D112" s="18">
        <v>2973</v>
      </c>
      <c r="E112" s="18" t="s">
        <v>97</v>
      </c>
      <c r="F112" s="18">
        <v>125</v>
      </c>
      <c r="G112" s="18">
        <v>3</v>
      </c>
      <c r="H112" s="18"/>
      <c r="I112" s="8">
        <f t="shared" si="2"/>
        <v>375</v>
      </c>
      <c r="J112" s="18"/>
      <c r="K112" s="18"/>
      <c r="L112" s="18"/>
      <c r="M112" s="18"/>
      <c r="N112" s="18"/>
    </row>
    <row r="113" spans="1:14" x14ac:dyDescent="0.2">
      <c r="A113" s="4">
        <v>46000</v>
      </c>
      <c r="B113" s="1" t="s">
        <v>54</v>
      </c>
      <c r="C113" s="18" t="s">
        <v>15</v>
      </c>
      <c r="D113" s="18">
        <v>2863</v>
      </c>
      <c r="E113" s="18" t="s">
        <v>104</v>
      </c>
      <c r="F113" s="18">
        <v>2000</v>
      </c>
      <c r="G113" s="18">
        <v>12</v>
      </c>
      <c r="H113" s="18"/>
      <c r="I113" s="8">
        <f t="shared" si="2"/>
        <v>24000</v>
      </c>
      <c r="J113" s="18">
        <v>0.7</v>
      </c>
      <c r="K113" s="18"/>
      <c r="L113" s="18"/>
      <c r="M113" s="18"/>
      <c r="N113" s="18"/>
    </row>
    <row r="114" spans="1:14" x14ac:dyDescent="0.2">
      <c r="A114" s="4">
        <v>46000</v>
      </c>
      <c r="B114" s="1" t="s">
        <v>54</v>
      </c>
      <c r="C114" s="18" t="s">
        <v>20</v>
      </c>
      <c r="D114" s="18">
        <v>3219</v>
      </c>
      <c r="E114" s="18" t="s">
        <v>169</v>
      </c>
      <c r="F114" s="18">
        <v>500</v>
      </c>
      <c r="G114" s="18">
        <v>6</v>
      </c>
      <c r="H114" s="18">
        <v>200</v>
      </c>
      <c r="I114" s="8">
        <f t="shared" si="2"/>
        <v>3200</v>
      </c>
      <c r="J114" s="18">
        <v>7.7</v>
      </c>
      <c r="K114" s="18"/>
      <c r="L114" s="18"/>
      <c r="M114" s="18"/>
      <c r="N114" s="18"/>
    </row>
    <row r="115" spans="1:14" x14ac:dyDescent="0.2">
      <c r="A115" s="4">
        <v>46000</v>
      </c>
      <c r="B115" s="1" t="s">
        <v>54</v>
      </c>
      <c r="C115" s="18" t="s">
        <v>24</v>
      </c>
      <c r="D115" s="18">
        <v>3258</v>
      </c>
      <c r="E115" s="18" t="s">
        <v>170</v>
      </c>
      <c r="F115" s="18">
        <v>1000</v>
      </c>
      <c r="G115" s="18">
        <v>21</v>
      </c>
      <c r="H115" s="18">
        <v>700</v>
      </c>
      <c r="I115" s="8">
        <f t="shared" si="2"/>
        <v>21700</v>
      </c>
      <c r="J115" s="18">
        <v>4.4000000000000004</v>
      </c>
      <c r="K115" s="18"/>
      <c r="L115" s="18"/>
      <c r="M115" s="18"/>
      <c r="N115" s="18"/>
    </row>
    <row r="116" spans="1:14" x14ac:dyDescent="0.2">
      <c r="A116" s="4">
        <v>46000</v>
      </c>
      <c r="B116" s="1" t="s">
        <v>54</v>
      </c>
      <c r="C116" s="18" t="s">
        <v>27</v>
      </c>
      <c r="D116" s="18">
        <v>2899</v>
      </c>
      <c r="E116" s="18" t="s">
        <v>171</v>
      </c>
      <c r="F116" s="18">
        <v>5000</v>
      </c>
      <c r="G116" s="18">
        <v>2</v>
      </c>
      <c r="H116" s="18">
        <v>3100</v>
      </c>
      <c r="I116" s="8">
        <f t="shared" si="2"/>
        <v>13100</v>
      </c>
      <c r="J116" s="18">
        <v>0.7</v>
      </c>
      <c r="K116" s="18"/>
      <c r="L116" s="18"/>
      <c r="M116" s="18"/>
      <c r="N116" s="18"/>
    </row>
    <row r="117" spans="1:14" x14ac:dyDescent="0.2">
      <c r="A117" s="4">
        <v>46000</v>
      </c>
      <c r="B117" s="1" t="s">
        <v>54</v>
      </c>
      <c r="C117" s="18" t="s">
        <v>56</v>
      </c>
      <c r="D117" s="18">
        <v>3071</v>
      </c>
      <c r="E117" s="18" t="s">
        <v>161</v>
      </c>
      <c r="F117" s="18">
        <v>500</v>
      </c>
      <c r="G117" s="18">
        <v>100</v>
      </c>
      <c r="H117" s="18"/>
      <c r="I117" s="8">
        <f t="shared" si="2"/>
        <v>50000</v>
      </c>
      <c r="J117" s="18">
        <v>7.1</v>
      </c>
      <c r="K117" s="18">
        <v>12.5</v>
      </c>
      <c r="L117" s="18"/>
      <c r="M117" s="18">
        <v>134</v>
      </c>
      <c r="N117" s="18"/>
    </row>
    <row r="118" spans="1:14" x14ac:dyDescent="0.2">
      <c r="A118" s="4">
        <v>46000</v>
      </c>
      <c r="B118" s="1" t="s">
        <v>54</v>
      </c>
      <c r="C118" s="18" t="s">
        <v>20</v>
      </c>
      <c r="D118" s="18">
        <v>2976</v>
      </c>
      <c r="E118" s="18" t="s">
        <v>172</v>
      </c>
      <c r="F118" s="18">
        <v>1000</v>
      </c>
      <c r="G118" s="18">
        <v>20</v>
      </c>
      <c r="H118" s="18">
        <v>700</v>
      </c>
      <c r="I118" s="8">
        <f t="shared" si="2"/>
        <v>20700</v>
      </c>
      <c r="J118" s="18">
        <v>1.1000000000000001</v>
      </c>
      <c r="K118" s="18"/>
      <c r="L118" s="18"/>
      <c r="M118" s="18"/>
      <c r="N118" s="18"/>
    </row>
    <row r="119" spans="1:14" x14ac:dyDescent="0.2">
      <c r="A119" s="4">
        <v>46000</v>
      </c>
      <c r="B119" s="1" t="s">
        <v>54</v>
      </c>
      <c r="C119" s="18" t="s">
        <v>27</v>
      </c>
      <c r="D119" s="18">
        <v>2932</v>
      </c>
      <c r="E119" s="18" t="s">
        <v>173</v>
      </c>
      <c r="F119" s="18">
        <v>1000</v>
      </c>
      <c r="G119" s="18">
        <v>9</v>
      </c>
      <c r="H119" s="18">
        <v>670</v>
      </c>
      <c r="I119" s="8">
        <f t="shared" si="2"/>
        <v>9670</v>
      </c>
      <c r="J119" s="18">
        <v>5.6</v>
      </c>
      <c r="K119" s="18">
        <v>3.1</v>
      </c>
      <c r="L119" s="18"/>
      <c r="M119" s="18">
        <v>6.1</v>
      </c>
      <c r="N119" s="18"/>
    </row>
    <row r="120" spans="1:14" x14ac:dyDescent="0.2">
      <c r="A120" s="4">
        <v>46000</v>
      </c>
      <c r="B120" s="1" t="s">
        <v>54</v>
      </c>
      <c r="C120" s="18" t="s">
        <v>27</v>
      </c>
      <c r="D120" s="18">
        <v>2931</v>
      </c>
      <c r="E120" s="18" t="s">
        <v>173</v>
      </c>
      <c r="F120" s="18">
        <v>1000</v>
      </c>
      <c r="G120" s="18">
        <v>9</v>
      </c>
      <c r="H120" s="18">
        <v>800</v>
      </c>
      <c r="I120" s="8">
        <f t="shared" si="2"/>
        <v>9800</v>
      </c>
      <c r="J120" s="18">
        <v>4.8</v>
      </c>
      <c r="K120" s="18">
        <v>5</v>
      </c>
      <c r="L120" s="18"/>
      <c r="M120" s="18">
        <v>13</v>
      </c>
      <c r="N120" s="18"/>
    </row>
    <row r="121" spans="1:14" x14ac:dyDescent="0.2">
      <c r="A121" s="4">
        <v>46000</v>
      </c>
      <c r="B121" s="1" t="s">
        <v>54</v>
      </c>
      <c r="C121" s="18" t="s">
        <v>24</v>
      </c>
      <c r="D121" s="18">
        <v>2857</v>
      </c>
      <c r="E121" s="18" t="s">
        <v>174</v>
      </c>
      <c r="F121" s="18">
        <v>250</v>
      </c>
      <c r="G121" s="18">
        <v>50</v>
      </c>
      <c r="H121" s="18"/>
      <c r="I121" s="8">
        <f t="shared" si="2"/>
        <v>12500</v>
      </c>
      <c r="J121" s="18">
        <v>28.5</v>
      </c>
      <c r="K121" s="18">
        <v>2.2999999999999998</v>
      </c>
      <c r="L121" s="18"/>
      <c r="M121" s="18">
        <v>6.3</v>
      </c>
      <c r="N121" s="18"/>
    </row>
    <row r="122" spans="1:14" x14ac:dyDescent="0.2">
      <c r="A122" s="4">
        <v>46000</v>
      </c>
      <c r="B122" s="1" t="s">
        <v>54</v>
      </c>
      <c r="C122" s="18" t="s">
        <v>20</v>
      </c>
      <c r="D122" s="18">
        <v>3141</v>
      </c>
      <c r="E122" s="18" t="s">
        <v>175</v>
      </c>
      <c r="F122" s="18">
        <v>1000</v>
      </c>
      <c r="G122" s="18">
        <v>24</v>
      </c>
      <c r="H122" s="18">
        <v>900</v>
      </c>
      <c r="I122" s="8">
        <f t="shared" si="2"/>
        <v>24900</v>
      </c>
      <c r="J122" s="18">
        <v>4</v>
      </c>
      <c r="K122" s="18"/>
      <c r="L122" s="18"/>
      <c r="M122" s="18"/>
      <c r="N122" s="18"/>
    </row>
    <row r="123" spans="1:14" x14ac:dyDescent="0.2">
      <c r="A123" s="4">
        <v>46000</v>
      </c>
      <c r="B123" s="1" t="s">
        <v>54</v>
      </c>
      <c r="C123" s="18" t="s">
        <v>20</v>
      </c>
      <c r="D123" s="18">
        <v>3062</v>
      </c>
      <c r="E123" s="18" t="s">
        <v>176</v>
      </c>
      <c r="F123" s="18">
        <v>2000</v>
      </c>
      <c r="G123" s="18">
        <v>8</v>
      </c>
      <c r="H123" s="18">
        <v>650</v>
      </c>
      <c r="I123" s="8">
        <f t="shared" si="2"/>
        <v>16650</v>
      </c>
      <c r="J123" s="18">
        <v>45658</v>
      </c>
      <c r="K123" s="18"/>
      <c r="L123" s="18"/>
      <c r="M123" s="18"/>
      <c r="N123" s="18"/>
    </row>
    <row r="124" spans="1:14" x14ac:dyDescent="0.2">
      <c r="A124" s="4">
        <v>46000</v>
      </c>
      <c r="B124" s="1" t="s">
        <v>54</v>
      </c>
      <c r="C124" s="18" t="s">
        <v>27</v>
      </c>
      <c r="D124" s="18">
        <v>2915</v>
      </c>
      <c r="E124" s="18" t="s">
        <v>177</v>
      </c>
      <c r="F124" s="18">
        <v>350</v>
      </c>
      <c r="G124" s="18">
        <v>12</v>
      </c>
      <c r="H124" s="18">
        <v>300</v>
      </c>
      <c r="I124" s="8">
        <f t="shared" si="2"/>
        <v>4500</v>
      </c>
      <c r="J124" s="18">
        <v>17</v>
      </c>
      <c r="K124" s="18"/>
      <c r="L124" s="18"/>
      <c r="M124" s="18">
        <v>21</v>
      </c>
      <c r="N124" s="18"/>
    </row>
    <row r="125" spans="1:14" x14ac:dyDescent="0.2">
      <c r="A125" s="4">
        <v>46000</v>
      </c>
      <c r="B125" s="1" t="s">
        <v>54</v>
      </c>
      <c r="C125" s="18" t="s">
        <v>27</v>
      </c>
      <c r="D125" s="18">
        <v>2914</v>
      </c>
      <c r="E125" s="18" t="s">
        <v>177</v>
      </c>
      <c r="F125" s="18">
        <v>350</v>
      </c>
      <c r="G125" s="18">
        <v>13</v>
      </c>
      <c r="H125" s="18">
        <v>80</v>
      </c>
      <c r="I125" s="8">
        <f t="shared" si="2"/>
        <v>4630</v>
      </c>
      <c r="J125" s="18">
        <v>14.4</v>
      </c>
      <c r="K125" s="18"/>
      <c r="L125" s="18"/>
      <c r="M125" s="18"/>
      <c r="N125" s="18"/>
    </row>
    <row r="126" spans="1:14" x14ac:dyDescent="0.2">
      <c r="A126" s="4">
        <v>46000</v>
      </c>
      <c r="B126" s="1" t="s">
        <v>54</v>
      </c>
      <c r="C126" s="18" t="s">
        <v>37</v>
      </c>
      <c r="D126" s="18">
        <v>2973</v>
      </c>
      <c r="E126" s="18" t="s">
        <v>68</v>
      </c>
      <c r="F126" s="18">
        <v>125</v>
      </c>
      <c r="G126" s="18">
        <v>3</v>
      </c>
      <c r="H126" s="18">
        <v>75</v>
      </c>
      <c r="I126" s="8">
        <f t="shared" si="2"/>
        <v>450</v>
      </c>
      <c r="J126" s="18"/>
      <c r="K126" s="18"/>
      <c r="L126" s="18"/>
      <c r="M126" s="18"/>
      <c r="N126" s="18"/>
    </row>
    <row r="127" spans="1:14" x14ac:dyDescent="0.2">
      <c r="A127" s="4">
        <v>46000</v>
      </c>
      <c r="B127" s="1" t="s">
        <v>54</v>
      </c>
      <c r="C127" s="18" t="s">
        <v>37</v>
      </c>
      <c r="D127" s="18">
        <v>2915</v>
      </c>
      <c r="E127" s="18" t="s">
        <v>177</v>
      </c>
      <c r="F127" s="18">
        <v>350</v>
      </c>
      <c r="G127" s="18">
        <v>1</v>
      </c>
      <c r="H127" s="18">
        <v>300</v>
      </c>
      <c r="I127" s="8">
        <f t="shared" si="2"/>
        <v>650</v>
      </c>
      <c r="J127" s="18"/>
      <c r="K127" s="18"/>
      <c r="L127" s="18"/>
      <c r="M127" s="18"/>
      <c r="N127" s="18"/>
    </row>
    <row r="128" spans="1:14" x14ac:dyDescent="0.2">
      <c r="A128" s="4">
        <v>46000</v>
      </c>
      <c r="B128" s="1" t="s">
        <v>54</v>
      </c>
      <c r="C128" s="18" t="s">
        <v>27</v>
      </c>
      <c r="D128" s="18">
        <v>2857</v>
      </c>
      <c r="E128" s="18" t="s">
        <v>178</v>
      </c>
      <c r="F128" s="18">
        <v>250</v>
      </c>
      <c r="G128" s="18">
        <v>11</v>
      </c>
      <c r="H128" s="18"/>
      <c r="I128" s="8">
        <f t="shared" si="2"/>
        <v>2750</v>
      </c>
      <c r="J128" s="18">
        <v>11.8</v>
      </c>
      <c r="K128" s="18"/>
      <c r="L128" s="18"/>
      <c r="M128" s="18"/>
      <c r="N128" s="18"/>
    </row>
    <row r="129" spans="1:14" x14ac:dyDescent="0.2">
      <c r="A129" s="4">
        <v>46000</v>
      </c>
      <c r="B129" s="1" t="s">
        <v>54</v>
      </c>
      <c r="C129" s="18" t="s">
        <v>20</v>
      </c>
      <c r="D129" s="18"/>
      <c r="E129" s="18" t="s">
        <v>179</v>
      </c>
      <c r="F129" s="18">
        <v>1900</v>
      </c>
      <c r="G129" s="18">
        <v>1</v>
      </c>
      <c r="H129" s="18"/>
      <c r="I129" s="8">
        <f t="shared" si="2"/>
        <v>1900</v>
      </c>
      <c r="J129" s="18"/>
      <c r="K129" s="18"/>
      <c r="L129" s="18"/>
      <c r="M129" s="18"/>
      <c r="N129" s="18"/>
    </row>
    <row r="130" spans="1:14" x14ac:dyDescent="0.2">
      <c r="A130" s="4">
        <v>46000</v>
      </c>
      <c r="B130" s="1" t="s">
        <v>54</v>
      </c>
      <c r="C130" s="18" t="s">
        <v>20</v>
      </c>
      <c r="D130" s="18">
        <v>3208</v>
      </c>
      <c r="E130" s="18" t="s">
        <v>180</v>
      </c>
      <c r="F130" s="18">
        <v>600</v>
      </c>
      <c r="G130" s="18">
        <v>10</v>
      </c>
      <c r="H130" s="18"/>
      <c r="I130" s="8">
        <f t="shared" si="2"/>
        <v>6000</v>
      </c>
      <c r="J130" s="18">
        <v>1.9</v>
      </c>
      <c r="K130" s="18"/>
      <c r="L130" s="18"/>
      <c r="M130" s="18"/>
      <c r="N130" s="18"/>
    </row>
    <row r="131" spans="1:14" x14ac:dyDescent="0.2">
      <c r="A131" s="4">
        <v>46000</v>
      </c>
      <c r="B131" s="1" t="s">
        <v>54</v>
      </c>
      <c r="C131" s="18" t="s">
        <v>56</v>
      </c>
      <c r="D131" s="18">
        <v>3137</v>
      </c>
      <c r="E131" s="18" t="s">
        <v>181</v>
      </c>
      <c r="F131" s="18">
        <v>250</v>
      </c>
      <c r="G131" s="18">
        <v>24</v>
      </c>
      <c r="H131" s="18"/>
      <c r="I131" s="8">
        <f t="shared" si="2"/>
        <v>6000</v>
      </c>
      <c r="J131" s="18">
        <v>4</v>
      </c>
      <c r="K131" s="18">
        <v>2.4</v>
      </c>
      <c r="L131" s="18"/>
      <c r="M131" s="18">
        <v>16</v>
      </c>
      <c r="N131" s="18"/>
    </row>
    <row r="132" spans="1:14" x14ac:dyDescent="0.2">
      <c r="A132" s="4">
        <v>46000</v>
      </c>
      <c r="B132" s="1" t="s">
        <v>54</v>
      </c>
      <c r="C132" s="18" t="s">
        <v>37</v>
      </c>
      <c r="D132" s="18">
        <v>2914</v>
      </c>
      <c r="E132" s="18" t="s">
        <v>177</v>
      </c>
      <c r="F132" s="18">
        <v>350</v>
      </c>
      <c r="G132" s="18">
        <v>3</v>
      </c>
      <c r="H132" s="18"/>
      <c r="I132" s="8">
        <f t="shared" si="2"/>
        <v>1050</v>
      </c>
      <c r="J132" s="18"/>
      <c r="K132" s="18"/>
      <c r="L132" s="18"/>
      <c r="M132" s="18"/>
      <c r="N132" s="18"/>
    </row>
    <row r="133" spans="1:14" x14ac:dyDescent="0.2">
      <c r="A133" s="4">
        <v>46001</v>
      </c>
      <c r="B133" s="1" t="s">
        <v>14</v>
      </c>
      <c r="C133" s="18" t="s">
        <v>15</v>
      </c>
      <c r="D133" s="18">
        <v>3345</v>
      </c>
      <c r="E133" s="18" t="s">
        <v>182</v>
      </c>
      <c r="F133" s="18">
        <v>500</v>
      </c>
      <c r="G133" s="18">
        <v>7</v>
      </c>
      <c r="H133" s="18">
        <v>150</v>
      </c>
      <c r="I133" s="8">
        <f t="shared" si="2"/>
        <v>3650</v>
      </c>
      <c r="J133" s="18">
        <v>4.3</v>
      </c>
      <c r="K133" s="18"/>
      <c r="L133" s="18"/>
      <c r="M133" s="18"/>
      <c r="N133" s="18" t="s">
        <v>183</v>
      </c>
    </row>
    <row r="134" spans="1:14" x14ac:dyDescent="0.2">
      <c r="A134" s="4">
        <v>46001</v>
      </c>
      <c r="B134" s="1" t="s">
        <v>14</v>
      </c>
      <c r="C134" s="18" t="s">
        <v>15</v>
      </c>
      <c r="D134" s="18">
        <v>2959</v>
      </c>
      <c r="E134" s="18" t="s">
        <v>184</v>
      </c>
      <c r="F134" s="18">
        <v>1000</v>
      </c>
      <c r="G134" s="18">
        <v>7</v>
      </c>
      <c r="H134" s="18">
        <v>800</v>
      </c>
      <c r="I134" s="8">
        <f t="shared" si="2"/>
        <v>7800</v>
      </c>
      <c r="J134" s="18">
        <v>3.6</v>
      </c>
      <c r="K134" s="18"/>
      <c r="L134" s="18"/>
      <c r="M134" s="18"/>
      <c r="N134" s="18" t="s">
        <v>185</v>
      </c>
    </row>
    <row r="135" spans="1:14" x14ac:dyDescent="0.2">
      <c r="A135" s="4">
        <v>46001</v>
      </c>
      <c r="B135" s="1" t="s">
        <v>14</v>
      </c>
      <c r="C135" s="18" t="s">
        <v>15</v>
      </c>
      <c r="D135" s="18">
        <v>3079</v>
      </c>
      <c r="E135" s="18" t="s">
        <v>186</v>
      </c>
      <c r="F135" s="18">
        <v>100</v>
      </c>
      <c r="G135" s="18">
        <v>148</v>
      </c>
      <c r="H135" s="18">
        <v>50</v>
      </c>
      <c r="I135" s="8">
        <f t="shared" si="2"/>
        <v>14850</v>
      </c>
      <c r="J135" s="18">
        <v>14.5</v>
      </c>
      <c r="K135" s="18"/>
      <c r="L135" s="18"/>
      <c r="M135" s="18"/>
      <c r="N135" s="18"/>
    </row>
    <row r="136" spans="1:14" x14ac:dyDescent="0.2">
      <c r="A136" s="4">
        <v>46001</v>
      </c>
      <c r="B136" s="1" t="s">
        <v>14</v>
      </c>
      <c r="C136" s="18" t="s">
        <v>15</v>
      </c>
      <c r="D136" s="18">
        <v>3226</v>
      </c>
      <c r="E136" s="18" t="s">
        <v>187</v>
      </c>
      <c r="F136" s="18">
        <v>500</v>
      </c>
      <c r="G136" s="18">
        <v>14</v>
      </c>
      <c r="H136" s="18"/>
      <c r="I136" s="8">
        <f t="shared" si="2"/>
        <v>7000</v>
      </c>
      <c r="J136" s="18">
        <v>1.8</v>
      </c>
      <c r="K136" s="18"/>
      <c r="L136" s="18"/>
      <c r="M136" s="18"/>
      <c r="N136" s="18" t="s">
        <v>188</v>
      </c>
    </row>
    <row r="137" spans="1:14" x14ac:dyDescent="0.2">
      <c r="A137" s="4">
        <v>46001</v>
      </c>
      <c r="B137" s="1" t="s">
        <v>14</v>
      </c>
      <c r="C137" s="18" t="s">
        <v>20</v>
      </c>
      <c r="D137" s="18">
        <v>3208</v>
      </c>
      <c r="E137" s="18" t="s">
        <v>180</v>
      </c>
      <c r="F137" s="18">
        <v>600</v>
      </c>
      <c r="G137" s="18">
        <v>126</v>
      </c>
      <c r="H137" s="18"/>
      <c r="I137" s="8">
        <f t="shared" si="2"/>
        <v>75600</v>
      </c>
      <c r="J137" s="18">
        <v>4.9000000000000004</v>
      </c>
      <c r="K137" s="18"/>
      <c r="L137" s="18"/>
      <c r="M137" s="18"/>
      <c r="N137" s="18"/>
    </row>
    <row r="138" spans="1:14" x14ac:dyDescent="0.2">
      <c r="A138" s="4">
        <v>46001</v>
      </c>
      <c r="B138" s="1" t="s">
        <v>14</v>
      </c>
      <c r="C138" s="18" t="s">
        <v>56</v>
      </c>
      <c r="D138" s="18">
        <v>3137</v>
      </c>
      <c r="E138" s="18" t="s">
        <v>189</v>
      </c>
      <c r="F138" s="18">
        <v>250</v>
      </c>
      <c r="G138" s="18">
        <v>95</v>
      </c>
      <c r="H138" s="18"/>
      <c r="I138" s="8">
        <f t="shared" si="2"/>
        <v>23750</v>
      </c>
      <c r="J138" s="18">
        <v>13.3</v>
      </c>
      <c r="K138" s="18">
        <v>13</v>
      </c>
      <c r="L138" s="18"/>
      <c r="M138" s="18">
        <v>69.7</v>
      </c>
      <c r="N138" s="18"/>
    </row>
    <row r="139" spans="1:14" x14ac:dyDescent="0.2">
      <c r="A139" s="4">
        <v>46001</v>
      </c>
      <c r="B139" s="1" t="s">
        <v>14</v>
      </c>
      <c r="C139" s="18" t="s">
        <v>56</v>
      </c>
      <c r="D139" s="18">
        <v>2950</v>
      </c>
      <c r="E139" s="18" t="s">
        <v>189</v>
      </c>
      <c r="F139" s="18">
        <v>250</v>
      </c>
      <c r="G139" s="18">
        <v>109</v>
      </c>
      <c r="H139" s="18"/>
      <c r="I139" s="8">
        <f t="shared" si="2"/>
        <v>27250</v>
      </c>
      <c r="J139" s="18">
        <v>16.7</v>
      </c>
      <c r="K139" s="18">
        <v>15</v>
      </c>
      <c r="L139" s="18"/>
      <c r="M139" s="18">
        <v>80.099999999999994</v>
      </c>
      <c r="N139" s="18"/>
    </row>
    <row r="140" spans="1:14" x14ac:dyDescent="0.2">
      <c r="A140" s="4">
        <v>46001</v>
      </c>
      <c r="B140" s="1" t="s">
        <v>14</v>
      </c>
      <c r="C140" s="18" t="s">
        <v>24</v>
      </c>
      <c r="D140" s="18">
        <v>2857</v>
      </c>
      <c r="E140" s="18" t="s">
        <v>178</v>
      </c>
      <c r="F140" s="18">
        <v>250</v>
      </c>
      <c r="G140" s="18">
        <v>74</v>
      </c>
      <c r="H140" s="18"/>
      <c r="I140" s="8">
        <f t="shared" si="2"/>
        <v>18500</v>
      </c>
      <c r="J140" s="18">
        <v>10.1</v>
      </c>
      <c r="K140" s="18">
        <v>33</v>
      </c>
      <c r="L140" s="18"/>
      <c r="M140" s="18">
        <v>10.1</v>
      </c>
      <c r="N140" s="18" t="s">
        <v>190</v>
      </c>
    </row>
    <row r="141" spans="1:14" x14ac:dyDescent="0.2">
      <c r="A141" s="4">
        <v>46001</v>
      </c>
      <c r="B141" s="1" t="s">
        <v>14</v>
      </c>
      <c r="C141" s="18" t="s">
        <v>27</v>
      </c>
      <c r="D141" s="18">
        <v>2857</v>
      </c>
      <c r="E141" s="18" t="s">
        <v>178</v>
      </c>
      <c r="F141" s="18">
        <v>250</v>
      </c>
      <c r="G141" s="18">
        <v>17</v>
      </c>
      <c r="H141" s="18"/>
      <c r="I141" s="8">
        <f t="shared" si="2"/>
        <v>4250</v>
      </c>
      <c r="J141" s="18">
        <v>5.2</v>
      </c>
      <c r="K141" s="18">
        <v>9.1</v>
      </c>
      <c r="L141" s="18"/>
      <c r="M141" s="18">
        <v>4</v>
      </c>
      <c r="N141" s="18" t="s">
        <v>191</v>
      </c>
    </row>
    <row r="142" spans="1:14" x14ac:dyDescent="0.2">
      <c r="A142" s="4">
        <v>46001</v>
      </c>
      <c r="B142" s="1" t="s">
        <v>14</v>
      </c>
      <c r="C142" s="18" t="s">
        <v>27</v>
      </c>
      <c r="D142" s="18">
        <v>2993</v>
      </c>
      <c r="E142" s="18" t="s">
        <v>192</v>
      </c>
      <c r="F142" s="18">
        <v>1000</v>
      </c>
      <c r="G142" s="18">
        <v>41</v>
      </c>
      <c r="H142" s="18">
        <v>200</v>
      </c>
      <c r="I142" s="8">
        <f t="shared" si="2"/>
        <v>41200</v>
      </c>
      <c r="J142" s="18">
        <v>1.6</v>
      </c>
      <c r="K142" s="18"/>
      <c r="L142" s="18"/>
      <c r="M142" s="18"/>
      <c r="N142" s="18"/>
    </row>
    <row r="143" spans="1:14" x14ac:dyDescent="0.2">
      <c r="A143" s="4">
        <v>46001</v>
      </c>
      <c r="B143" s="1" t="s">
        <v>14</v>
      </c>
      <c r="C143" s="18" t="s">
        <v>37</v>
      </c>
      <c r="D143" s="18">
        <v>2914</v>
      </c>
      <c r="E143" s="18" t="s">
        <v>177</v>
      </c>
      <c r="F143" s="18">
        <v>350</v>
      </c>
      <c r="G143" s="18">
        <v>9</v>
      </c>
      <c r="H143" s="18"/>
      <c r="I143" s="8">
        <f t="shared" si="2"/>
        <v>3150</v>
      </c>
      <c r="J143" s="18">
        <v>0.2</v>
      </c>
      <c r="K143" s="18"/>
      <c r="L143" s="18"/>
      <c r="M143" s="18"/>
      <c r="N143" s="18"/>
    </row>
    <row r="144" spans="1:14" x14ac:dyDescent="0.2">
      <c r="A144" s="4">
        <v>46002</v>
      </c>
      <c r="B144" s="1" t="s">
        <v>40</v>
      </c>
      <c r="C144" s="18" t="s">
        <v>15</v>
      </c>
      <c r="D144" s="18">
        <v>3226</v>
      </c>
      <c r="E144" s="18" t="s">
        <v>187</v>
      </c>
      <c r="F144" s="18">
        <v>1000</v>
      </c>
      <c r="G144" s="18">
        <v>47</v>
      </c>
      <c r="H144" s="18">
        <v>580</v>
      </c>
      <c r="I144" s="8">
        <f t="shared" si="2"/>
        <v>47580</v>
      </c>
      <c r="J144" s="18">
        <v>1.3</v>
      </c>
      <c r="K144" s="18"/>
      <c r="L144" s="18"/>
      <c r="M144" s="18"/>
      <c r="N144" s="18"/>
    </row>
    <row r="145" spans="1:14" x14ac:dyDescent="0.2">
      <c r="A145" s="4">
        <v>46002</v>
      </c>
      <c r="B145" s="1" t="s">
        <v>40</v>
      </c>
      <c r="C145" s="18" t="s">
        <v>20</v>
      </c>
      <c r="D145" s="18">
        <v>3208</v>
      </c>
      <c r="E145" s="18" t="s">
        <v>180</v>
      </c>
      <c r="F145" s="18">
        <v>600</v>
      </c>
      <c r="G145" s="18">
        <v>53</v>
      </c>
      <c r="H145" s="18">
        <v>100</v>
      </c>
      <c r="I145" s="8">
        <f t="shared" si="2"/>
        <v>31900</v>
      </c>
      <c r="J145" s="18">
        <v>2.1</v>
      </c>
      <c r="K145" s="18"/>
      <c r="L145" s="18"/>
      <c r="M145" s="18"/>
      <c r="N145" s="18"/>
    </row>
    <row r="146" spans="1:14" x14ac:dyDescent="0.2">
      <c r="A146" s="4">
        <v>46002</v>
      </c>
      <c r="B146" s="1" t="s">
        <v>40</v>
      </c>
      <c r="C146" s="18" t="s">
        <v>193</v>
      </c>
      <c r="D146" s="18">
        <v>2950</v>
      </c>
      <c r="E146" s="18" t="s">
        <v>189</v>
      </c>
      <c r="F146" s="18">
        <v>250</v>
      </c>
      <c r="G146" s="18">
        <v>14</v>
      </c>
      <c r="H146" s="18">
        <v>130</v>
      </c>
      <c r="I146" s="8">
        <f t="shared" si="2"/>
        <v>3630</v>
      </c>
      <c r="J146" s="18">
        <v>1</v>
      </c>
      <c r="K146" s="18">
        <v>0.6</v>
      </c>
      <c r="L146" s="18"/>
      <c r="M146" s="18">
        <v>10.6</v>
      </c>
      <c r="N146" s="18"/>
    </row>
    <row r="147" spans="1:14" x14ac:dyDescent="0.2">
      <c r="A147" s="4">
        <v>46002</v>
      </c>
      <c r="B147" s="1" t="s">
        <v>40</v>
      </c>
      <c r="C147" s="18" t="s">
        <v>24</v>
      </c>
      <c r="D147" s="18">
        <v>2857</v>
      </c>
      <c r="E147" s="18" t="s">
        <v>178</v>
      </c>
      <c r="F147" s="18">
        <v>250</v>
      </c>
      <c r="G147" s="18">
        <v>88</v>
      </c>
      <c r="H147" s="18"/>
      <c r="I147" s="8">
        <f t="shared" si="2"/>
        <v>22000</v>
      </c>
      <c r="J147" s="18">
        <v>6.9</v>
      </c>
      <c r="K147" s="18">
        <v>25.5</v>
      </c>
      <c r="L147" s="18"/>
      <c r="M147" s="18">
        <v>10.5</v>
      </c>
      <c r="N147" s="18"/>
    </row>
    <row r="148" spans="1:14" x14ac:dyDescent="0.2">
      <c r="A148" s="4">
        <v>46002</v>
      </c>
      <c r="B148" s="1" t="s">
        <v>40</v>
      </c>
      <c r="C148" s="18" t="s">
        <v>27</v>
      </c>
      <c r="D148" s="18">
        <v>2997</v>
      </c>
      <c r="E148" s="18" t="s">
        <v>194</v>
      </c>
      <c r="F148" s="18">
        <v>4000</v>
      </c>
      <c r="G148" s="18">
        <v>17</v>
      </c>
      <c r="H148" s="18"/>
      <c r="I148" s="8">
        <f t="shared" si="2"/>
        <v>68000</v>
      </c>
      <c r="J148" s="18">
        <v>0.6</v>
      </c>
      <c r="K148" s="18">
        <v>1.4</v>
      </c>
      <c r="L148" s="18"/>
      <c r="M148" s="18"/>
      <c r="N148" s="18"/>
    </row>
    <row r="149" spans="1:14" x14ac:dyDescent="0.2">
      <c r="A149" s="4">
        <v>46002</v>
      </c>
      <c r="B149" s="1" t="s">
        <v>40</v>
      </c>
      <c r="C149" s="18" t="s">
        <v>15</v>
      </c>
      <c r="D149" s="18">
        <v>3224</v>
      </c>
      <c r="E149" s="18" t="s">
        <v>195</v>
      </c>
      <c r="F149" s="18">
        <v>500</v>
      </c>
      <c r="G149" s="18">
        <v>50</v>
      </c>
      <c r="H149" s="18"/>
      <c r="I149" s="8">
        <f t="shared" si="2"/>
        <v>25000</v>
      </c>
      <c r="J149" s="18">
        <v>2.7</v>
      </c>
      <c r="K149" s="18"/>
      <c r="L149" s="18"/>
      <c r="M149" s="18"/>
      <c r="N149" s="18"/>
    </row>
    <row r="150" spans="1:14" x14ac:dyDescent="0.2">
      <c r="A150" s="4">
        <v>46002</v>
      </c>
      <c r="B150" s="1" t="s">
        <v>40</v>
      </c>
      <c r="C150" s="18" t="s">
        <v>193</v>
      </c>
      <c r="D150" s="18">
        <v>2642</v>
      </c>
      <c r="E150" s="18" t="s">
        <v>189</v>
      </c>
      <c r="F150" s="18">
        <v>500</v>
      </c>
      <c r="G150" s="18">
        <v>21</v>
      </c>
      <c r="H150" s="18">
        <v>180</v>
      </c>
      <c r="I150" s="8">
        <f t="shared" si="2"/>
        <v>10680</v>
      </c>
      <c r="J150" s="18">
        <v>3.5</v>
      </c>
      <c r="K150" s="18">
        <v>7.3</v>
      </c>
      <c r="L150" s="18">
        <v>3.5</v>
      </c>
      <c r="M150" s="18">
        <v>26</v>
      </c>
      <c r="N150" s="18"/>
    </row>
    <row r="151" spans="1:14" x14ac:dyDescent="0.2">
      <c r="A151" s="4">
        <v>46002</v>
      </c>
      <c r="B151" s="1" t="s">
        <v>40</v>
      </c>
      <c r="C151" s="18" t="s">
        <v>196</v>
      </c>
      <c r="D151" s="18">
        <v>2639</v>
      </c>
      <c r="E151" s="18" t="s">
        <v>197</v>
      </c>
      <c r="F151" s="18">
        <v>500</v>
      </c>
      <c r="G151" s="18">
        <v>40</v>
      </c>
      <c r="H151" s="18"/>
      <c r="I151" s="8">
        <f t="shared" si="2"/>
        <v>20000</v>
      </c>
      <c r="J151" s="18">
        <v>6.2</v>
      </c>
      <c r="K151" s="18">
        <v>13.4</v>
      </c>
      <c r="L151" s="18"/>
      <c r="M151" s="18">
        <v>51</v>
      </c>
      <c r="N151" s="18"/>
    </row>
    <row r="152" spans="1:14" x14ac:dyDescent="0.2">
      <c r="A152" s="4">
        <v>46002</v>
      </c>
      <c r="B152" s="1" t="s">
        <v>40</v>
      </c>
      <c r="C152" s="18" t="s">
        <v>20</v>
      </c>
      <c r="D152" s="18">
        <v>3059</v>
      </c>
      <c r="E152" s="18" t="s">
        <v>198</v>
      </c>
      <c r="F152" s="18">
        <v>1800</v>
      </c>
      <c r="G152" s="18">
        <v>30</v>
      </c>
      <c r="H152" s="18">
        <v>870</v>
      </c>
      <c r="I152" s="8">
        <f t="shared" si="2"/>
        <v>54870</v>
      </c>
      <c r="J152" s="18">
        <v>2.4</v>
      </c>
      <c r="K152" s="18"/>
      <c r="L152" s="18"/>
      <c r="M152" s="18"/>
      <c r="N152" s="18"/>
    </row>
    <row r="153" spans="1:14" x14ac:dyDescent="0.2">
      <c r="A153" s="4">
        <v>46002</v>
      </c>
      <c r="B153" s="1" t="s">
        <v>40</v>
      </c>
      <c r="C153" s="18" t="s">
        <v>193</v>
      </c>
      <c r="D153" s="18">
        <v>3082</v>
      </c>
      <c r="E153" s="18" t="s">
        <v>199</v>
      </c>
      <c r="F153" s="18">
        <v>1000</v>
      </c>
      <c r="G153" s="18">
        <v>36</v>
      </c>
      <c r="H153" s="18"/>
      <c r="I153" s="8">
        <f t="shared" si="2"/>
        <v>36000</v>
      </c>
      <c r="J153" s="18">
        <v>2.2000000000000002</v>
      </c>
      <c r="K153" s="18"/>
      <c r="L153" s="18"/>
      <c r="M153" s="18">
        <v>45.4</v>
      </c>
      <c r="N153" s="18"/>
    </row>
    <row r="154" spans="1:14" x14ac:dyDescent="0.2">
      <c r="A154" s="4">
        <v>46002</v>
      </c>
      <c r="B154" s="1" t="s">
        <v>40</v>
      </c>
      <c r="C154" s="18" t="s">
        <v>20</v>
      </c>
      <c r="D154" s="18">
        <v>3040</v>
      </c>
      <c r="E154" s="18" t="s">
        <v>200</v>
      </c>
      <c r="F154" s="18">
        <v>2000</v>
      </c>
      <c r="G154" s="18">
        <v>2</v>
      </c>
      <c r="H154" s="18"/>
      <c r="I154" s="8">
        <f t="shared" si="2"/>
        <v>4000</v>
      </c>
      <c r="J154" s="18">
        <v>0.3</v>
      </c>
      <c r="K154" s="18"/>
      <c r="L154" s="18"/>
      <c r="M154" s="18"/>
      <c r="N154" s="18" t="s">
        <v>201</v>
      </c>
    </row>
    <row r="155" spans="1:14" x14ac:dyDescent="0.2">
      <c r="A155" s="4">
        <v>46003</v>
      </c>
      <c r="B155" s="1" t="s">
        <v>54</v>
      </c>
      <c r="C155" s="18" t="s">
        <v>27</v>
      </c>
      <c r="D155" s="18">
        <v>2997</v>
      </c>
      <c r="E155" s="18" t="s">
        <v>194</v>
      </c>
      <c r="F155" s="18">
        <v>4000</v>
      </c>
      <c r="G155" s="18">
        <v>7</v>
      </c>
      <c r="H155" s="18">
        <v>2400</v>
      </c>
      <c r="I155" s="8">
        <f t="shared" si="2"/>
        <v>30400</v>
      </c>
      <c r="J155" s="19"/>
      <c r="K155" s="16"/>
      <c r="L155" s="16"/>
      <c r="M155" s="16"/>
      <c r="N155" s="16"/>
    </row>
    <row r="156" spans="1:14" x14ac:dyDescent="0.2">
      <c r="A156" s="4">
        <v>46003</v>
      </c>
      <c r="B156" s="1" t="s">
        <v>54</v>
      </c>
      <c r="C156" s="18" t="s">
        <v>24</v>
      </c>
      <c r="D156" s="18">
        <v>2857</v>
      </c>
      <c r="E156" s="18" t="s">
        <v>174</v>
      </c>
      <c r="F156" s="18">
        <v>250</v>
      </c>
      <c r="G156" s="18">
        <v>49</v>
      </c>
      <c r="H156" s="18">
        <v>100</v>
      </c>
      <c r="I156" s="8">
        <f t="shared" si="2"/>
        <v>12350</v>
      </c>
      <c r="J156" s="18">
        <v>16.3</v>
      </c>
      <c r="K156" s="18">
        <v>1.2</v>
      </c>
      <c r="L156" s="18"/>
      <c r="M156" s="18"/>
      <c r="N156" s="18"/>
    </row>
    <row r="157" spans="1:14" x14ac:dyDescent="0.2">
      <c r="A157" s="4">
        <v>46003</v>
      </c>
      <c r="B157" s="1" t="s">
        <v>54</v>
      </c>
      <c r="C157" s="18" t="s">
        <v>15</v>
      </c>
      <c r="D157" s="18">
        <v>3224</v>
      </c>
      <c r="E157" s="18" t="s">
        <v>195</v>
      </c>
      <c r="F157" s="18">
        <v>500</v>
      </c>
      <c r="G157" s="18">
        <v>33</v>
      </c>
      <c r="H157" s="18">
        <v>300</v>
      </c>
      <c r="I157" s="8">
        <f t="shared" si="2"/>
        <v>16800</v>
      </c>
      <c r="J157" s="18">
        <v>9.5</v>
      </c>
      <c r="K157" s="18"/>
      <c r="L157" s="18"/>
      <c r="M157" s="18"/>
      <c r="N157" s="18"/>
    </row>
    <row r="158" spans="1:14" x14ac:dyDescent="0.2">
      <c r="A158" s="4">
        <v>46003</v>
      </c>
      <c r="B158" s="1" t="s">
        <v>54</v>
      </c>
      <c r="C158" s="18" t="s">
        <v>20</v>
      </c>
      <c r="D158" s="18">
        <v>3040</v>
      </c>
      <c r="E158" s="18" t="s">
        <v>73</v>
      </c>
      <c r="F158" s="18">
        <v>2000</v>
      </c>
      <c r="G158" s="18">
        <v>25</v>
      </c>
      <c r="H158" s="18">
        <v>1300</v>
      </c>
      <c r="I158" s="8">
        <f t="shared" si="2"/>
        <v>51300</v>
      </c>
      <c r="J158" s="18">
        <v>2</v>
      </c>
      <c r="K158" s="18"/>
      <c r="L158" s="18"/>
      <c r="M158" s="18">
        <v>45870</v>
      </c>
      <c r="N158" s="18" t="s">
        <v>92</v>
      </c>
    </row>
    <row r="159" spans="1:14" x14ac:dyDescent="0.2">
      <c r="A159" s="4">
        <v>46003</v>
      </c>
      <c r="B159" s="1" t="s">
        <v>54</v>
      </c>
      <c r="C159" s="18" t="s">
        <v>56</v>
      </c>
      <c r="D159" s="18">
        <v>2639</v>
      </c>
      <c r="E159" s="18" t="s">
        <v>202</v>
      </c>
      <c r="F159" s="18">
        <v>500</v>
      </c>
      <c r="G159" s="18">
        <v>30</v>
      </c>
      <c r="H159" s="18"/>
      <c r="I159" s="8">
        <f t="shared" si="2"/>
        <v>15000</v>
      </c>
      <c r="J159" s="18"/>
      <c r="K159" s="18"/>
      <c r="L159" s="18">
        <v>33</v>
      </c>
      <c r="M159" s="18">
        <v>43.4</v>
      </c>
      <c r="N159" s="18"/>
    </row>
    <row r="160" spans="1:14" x14ac:dyDescent="0.2">
      <c r="A160" s="4">
        <v>46003</v>
      </c>
      <c r="B160" s="1" t="s">
        <v>54</v>
      </c>
      <c r="C160" s="18" t="s">
        <v>56</v>
      </c>
      <c r="D160" s="18">
        <v>3042</v>
      </c>
      <c r="E160" s="18" t="s">
        <v>203</v>
      </c>
      <c r="F160" s="18">
        <v>400</v>
      </c>
      <c r="G160" s="18">
        <v>42</v>
      </c>
      <c r="H160" s="18">
        <v>160</v>
      </c>
      <c r="I160" s="8">
        <f t="shared" si="2"/>
        <v>16960</v>
      </c>
      <c r="J160" s="18">
        <v>14</v>
      </c>
      <c r="K160" s="18">
        <v>40.5</v>
      </c>
      <c r="L160" s="18"/>
      <c r="M160" s="18">
        <v>73.2</v>
      </c>
      <c r="N160" s="18"/>
    </row>
    <row r="161" spans="1:14" x14ac:dyDescent="0.2">
      <c r="A161" s="4">
        <v>46003</v>
      </c>
      <c r="B161" s="1" t="s">
        <v>54</v>
      </c>
      <c r="C161" s="18" t="s">
        <v>56</v>
      </c>
      <c r="D161" s="18">
        <v>3129</v>
      </c>
      <c r="E161" s="18" t="s">
        <v>204</v>
      </c>
      <c r="F161" s="18">
        <v>500</v>
      </c>
      <c r="G161" s="18">
        <v>7</v>
      </c>
      <c r="H161" s="18"/>
      <c r="I161" s="8">
        <f t="shared" si="2"/>
        <v>3500</v>
      </c>
      <c r="J161" s="18">
        <v>3</v>
      </c>
      <c r="K161" s="18"/>
      <c r="L161" s="18"/>
      <c r="M161" s="18">
        <v>9.4</v>
      </c>
      <c r="N161" s="18"/>
    </row>
    <row r="162" spans="1:14" x14ac:dyDescent="0.2">
      <c r="A162" s="4">
        <v>46003</v>
      </c>
      <c r="B162" s="1" t="s">
        <v>54</v>
      </c>
      <c r="C162" s="18" t="s">
        <v>56</v>
      </c>
      <c r="D162" s="18">
        <v>3041</v>
      </c>
      <c r="E162" s="18" t="s">
        <v>205</v>
      </c>
      <c r="F162" s="18">
        <v>400</v>
      </c>
      <c r="G162" s="18">
        <v>24</v>
      </c>
      <c r="H162" s="18"/>
      <c r="I162" s="8">
        <f t="shared" si="2"/>
        <v>9600</v>
      </c>
      <c r="J162" s="18">
        <v>1.8</v>
      </c>
      <c r="K162" s="18">
        <v>9.6</v>
      </c>
      <c r="L162" s="18"/>
      <c r="M162" s="18">
        <v>24.5</v>
      </c>
      <c r="N162" s="18"/>
    </row>
    <row r="163" spans="1:14" x14ac:dyDescent="0.2">
      <c r="A163" s="4">
        <v>46003</v>
      </c>
      <c r="B163" s="1" t="s">
        <v>54</v>
      </c>
      <c r="C163" s="18" t="s">
        <v>15</v>
      </c>
      <c r="D163" s="18">
        <v>3225</v>
      </c>
      <c r="E163" s="18" t="s">
        <v>195</v>
      </c>
      <c r="F163" s="18">
        <v>500</v>
      </c>
      <c r="G163" s="18">
        <v>80</v>
      </c>
      <c r="H163" s="18"/>
      <c r="I163" s="8">
        <f t="shared" si="2"/>
        <v>40000</v>
      </c>
      <c r="J163" s="18">
        <v>15</v>
      </c>
      <c r="K163" s="18"/>
      <c r="L163" s="18"/>
      <c r="M163" s="18"/>
      <c r="N163" s="18"/>
    </row>
    <row r="164" spans="1:14" x14ac:dyDescent="0.2">
      <c r="A164" s="4">
        <v>46003</v>
      </c>
      <c r="B164" s="1" t="s">
        <v>54</v>
      </c>
      <c r="C164" s="18" t="s">
        <v>27</v>
      </c>
      <c r="D164" s="18">
        <v>2998</v>
      </c>
      <c r="E164" s="18" t="s">
        <v>194</v>
      </c>
      <c r="F164" s="18">
        <v>4000</v>
      </c>
      <c r="G164" s="18">
        <v>14</v>
      </c>
      <c r="H164" s="18"/>
      <c r="I164" s="8">
        <f t="shared" si="2"/>
        <v>56000</v>
      </c>
      <c r="J164" s="18"/>
      <c r="K164" s="18"/>
      <c r="L164" s="18"/>
      <c r="M164" s="18"/>
      <c r="N164" s="18"/>
    </row>
    <row r="165" spans="1:14" x14ac:dyDescent="0.2">
      <c r="A165" s="4">
        <v>46003</v>
      </c>
      <c r="B165" s="1" t="s">
        <v>54</v>
      </c>
      <c r="C165" s="18" t="s">
        <v>24</v>
      </c>
      <c r="D165" s="18">
        <v>3080</v>
      </c>
      <c r="E165" s="18" t="s">
        <v>206</v>
      </c>
      <c r="F165" s="18">
        <v>350</v>
      </c>
      <c r="G165" s="18">
        <v>7</v>
      </c>
      <c r="H165" s="18">
        <v>200</v>
      </c>
      <c r="I165" s="8">
        <f t="shared" si="2"/>
        <v>2650</v>
      </c>
      <c r="J165" s="18">
        <v>2.7</v>
      </c>
      <c r="K165" s="18">
        <v>1.6</v>
      </c>
      <c r="L165" s="18"/>
      <c r="M165" s="18">
        <v>1.2</v>
      </c>
      <c r="N165" s="18"/>
    </row>
    <row r="166" spans="1:14" x14ac:dyDescent="0.2">
      <c r="A166" s="4">
        <v>46003</v>
      </c>
      <c r="B166" s="1" t="s">
        <v>54</v>
      </c>
      <c r="C166" s="18" t="s">
        <v>24</v>
      </c>
      <c r="D166" s="18">
        <v>2858</v>
      </c>
      <c r="E166" s="18" t="s">
        <v>207</v>
      </c>
      <c r="F166" s="18">
        <v>500</v>
      </c>
      <c r="G166" s="18">
        <v>16</v>
      </c>
      <c r="H166" s="18"/>
      <c r="I166" s="8">
        <f t="shared" si="2"/>
        <v>8000</v>
      </c>
      <c r="J166" s="18">
        <v>6</v>
      </c>
      <c r="K166" s="18"/>
      <c r="L166" s="18"/>
      <c r="M166" s="18">
        <v>4.5</v>
      </c>
      <c r="N166" s="18"/>
    </row>
    <row r="167" spans="1:14" x14ac:dyDescent="0.2">
      <c r="A167" s="4">
        <v>46003</v>
      </c>
      <c r="B167" s="1" t="s">
        <v>54</v>
      </c>
      <c r="C167" s="18" t="s">
        <v>20</v>
      </c>
      <c r="D167" s="18">
        <v>3264</v>
      </c>
      <c r="E167" s="18" t="s">
        <v>208</v>
      </c>
      <c r="F167" s="18">
        <v>150</v>
      </c>
      <c r="G167" s="18">
        <v>19</v>
      </c>
      <c r="H167" s="18"/>
      <c r="I167" s="8">
        <f t="shared" si="2"/>
        <v>2850</v>
      </c>
      <c r="J167" s="18">
        <v>14</v>
      </c>
      <c r="K167" s="18"/>
      <c r="L167" s="18"/>
      <c r="M167" s="18"/>
      <c r="N167" s="18"/>
    </row>
    <row r="168" spans="1:14" x14ac:dyDescent="0.2">
      <c r="A168" s="4">
        <v>46003</v>
      </c>
      <c r="B168" s="1" t="s">
        <v>54</v>
      </c>
      <c r="C168" s="18" t="s">
        <v>37</v>
      </c>
      <c r="D168" s="18">
        <v>2915</v>
      </c>
      <c r="E168" s="18" t="s">
        <v>209</v>
      </c>
      <c r="F168" s="18">
        <v>350</v>
      </c>
      <c r="G168" s="18">
        <v>1</v>
      </c>
      <c r="H168" s="18">
        <v>300</v>
      </c>
      <c r="I168" s="8">
        <f t="shared" si="2"/>
        <v>650</v>
      </c>
      <c r="J168" s="18"/>
      <c r="K168" s="18"/>
      <c r="L168" s="18"/>
      <c r="M168" s="18"/>
      <c r="N168" s="18"/>
    </row>
    <row r="169" spans="1:14" x14ac:dyDescent="0.2">
      <c r="A169" s="4">
        <v>46003</v>
      </c>
      <c r="B169" s="1" t="s">
        <v>54</v>
      </c>
      <c r="C169" s="18" t="s">
        <v>37</v>
      </c>
      <c r="D169" s="18">
        <v>2914</v>
      </c>
      <c r="E169" s="18" t="s">
        <v>177</v>
      </c>
      <c r="F169" s="18">
        <v>350</v>
      </c>
      <c r="G169" s="18">
        <v>8</v>
      </c>
      <c r="H169" s="18"/>
      <c r="I169" s="8">
        <f t="shared" si="2"/>
        <v>2800</v>
      </c>
      <c r="J169" s="18"/>
      <c r="K169" s="18"/>
      <c r="L169" s="18"/>
      <c r="M169" s="18"/>
      <c r="N169" s="18"/>
    </row>
    <row r="170" spans="1:14" x14ac:dyDescent="0.2">
      <c r="A170" s="4">
        <v>46003</v>
      </c>
      <c r="B170" s="1" t="s">
        <v>54</v>
      </c>
      <c r="C170" s="18" t="s">
        <v>15</v>
      </c>
      <c r="D170" s="18">
        <v>3223</v>
      </c>
      <c r="E170" s="18" t="s">
        <v>210</v>
      </c>
      <c r="F170" s="18">
        <v>500</v>
      </c>
      <c r="G170" s="18">
        <v>4</v>
      </c>
      <c r="H170" s="18"/>
      <c r="I170" s="8">
        <f t="shared" si="2"/>
        <v>2000</v>
      </c>
      <c r="J170" s="18"/>
      <c r="K170" s="18"/>
      <c r="L170" s="18"/>
      <c r="M170" s="18"/>
      <c r="N170" s="18"/>
    </row>
    <row r="171" spans="1:14" x14ac:dyDescent="0.2">
      <c r="A171" s="4">
        <v>46004</v>
      </c>
      <c r="B171" s="1" t="s">
        <v>14</v>
      </c>
      <c r="C171" s="18" t="s">
        <v>15</v>
      </c>
      <c r="D171" s="18">
        <v>3223</v>
      </c>
      <c r="E171" s="18" t="s">
        <v>210</v>
      </c>
      <c r="F171" s="18">
        <v>500</v>
      </c>
      <c r="G171" s="18">
        <v>30</v>
      </c>
      <c r="H171" s="18">
        <v>400</v>
      </c>
      <c r="I171" s="8">
        <f t="shared" si="2"/>
        <v>15400</v>
      </c>
      <c r="J171" s="18">
        <v>2.2999999999999998</v>
      </c>
      <c r="K171" s="18"/>
      <c r="L171" s="18"/>
      <c r="M171" s="18"/>
      <c r="N171" s="18"/>
    </row>
    <row r="172" spans="1:14" x14ac:dyDescent="0.2">
      <c r="A172" s="4">
        <v>46004</v>
      </c>
      <c r="B172" s="1" t="s">
        <v>14</v>
      </c>
      <c r="C172" s="18" t="s">
        <v>15</v>
      </c>
      <c r="D172" s="18">
        <v>3084</v>
      </c>
      <c r="E172" s="18" t="s">
        <v>211</v>
      </c>
      <c r="F172" s="18">
        <v>300</v>
      </c>
      <c r="G172" s="18">
        <v>25</v>
      </c>
      <c r="H172" s="18">
        <v>150</v>
      </c>
      <c r="I172" s="8">
        <f t="shared" ref="I172:I235" si="3">F172*G172+H172</f>
        <v>7650</v>
      </c>
      <c r="J172" s="18">
        <v>6.7</v>
      </c>
      <c r="K172" s="18"/>
      <c r="L172" s="18"/>
      <c r="M172" s="18"/>
      <c r="N172" s="18"/>
    </row>
    <row r="173" spans="1:14" x14ac:dyDescent="0.2">
      <c r="A173" s="4">
        <v>46004</v>
      </c>
      <c r="B173" s="1" t="s">
        <v>14</v>
      </c>
      <c r="C173" s="18" t="s">
        <v>15</v>
      </c>
      <c r="D173" s="18">
        <v>3154</v>
      </c>
      <c r="E173" s="18" t="s">
        <v>135</v>
      </c>
      <c r="F173" s="18">
        <v>500</v>
      </c>
      <c r="G173" s="18">
        <v>21</v>
      </c>
      <c r="H173" s="18">
        <v>250</v>
      </c>
      <c r="I173" s="8">
        <f t="shared" si="3"/>
        <v>10750</v>
      </c>
      <c r="J173" s="18">
        <v>4.4000000000000004</v>
      </c>
      <c r="K173" s="18"/>
      <c r="L173" s="18"/>
      <c r="M173" s="18">
        <v>1.2</v>
      </c>
      <c r="N173" s="18" t="s">
        <v>124</v>
      </c>
    </row>
    <row r="174" spans="1:14" x14ac:dyDescent="0.2">
      <c r="A174" s="4">
        <v>46004</v>
      </c>
      <c r="B174" s="1" t="s">
        <v>14</v>
      </c>
      <c r="C174" s="18" t="s">
        <v>15</v>
      </c>
      <c r="D174" s="18">
        <v>3227</v>
      </c>
      <c r="E174" s="18" t="s">
        <v>212</v>
      </c>
      <c r="F174" s="18">
        <v>800</v>
      </c>
      <c r="G174" s="18">
        <v>3</v>
      </c>
      <c r="H174" s="18"/>
      <c r="I174" s="8">
        <f t="shared" si="3"/>
        <v>2400</v>
      </c>
      <c r="J174" s="18">
        <v>2.9</v>
      </c>
      <c r="K174" s="18"/>
      <c r="L174" s="18"/>
      <c r="M174" s="18"/>
      <c r="N174" s="18"/>
    </row>
    <row r="175" spans="1:14" x14ac:dyDescent="0.2">
      <c r="A175" s="4">
        <v>46004</v>
      </c>
      <c r="B175" s="1" t="s">
        <v>14</v>
      </c>
      <c r="C175" s="18" t="s">
        <v>20</v>
      </c>
      <c r="D175" s="18">
        <v>3264</v>
      </c>
      <c r="E175" s="18" t="s">
        <v>208</v>
      </c>
      <c r="F175" s="18">
        <v>100</v>
      </c>
      <c r="G175" s="18">
        <v>83</v>
      </c>
      <c r="H175" s="18"/>
      <c r="I175" s="8">
        <f t="shared" si="3"/>
        <v>8300</v>
      </c>
      <c r="J175" s="18">
        <v>6.2</v>
      </c>
      <c r="K175" s="18"/>
      <c r="L175" s="18"/>
      <c r="M175" s="18"/>
      <c r="N175" s="18" t="s">
        <v>213</v>
      </c>
    </row>
    <row r="176" spans="1:14" x14ac:dyDescent="0.2">
      <c r="A176" s="4">
        <v>46004</v>
      </c>
      <c r="B176" s="1" t="s">
        <v>14</v>
      </c>
      <c r="C176" s="18" t="s">
        <v>20</v>
      </c>
      <c r="D176" s="18">
        <v>3265</v>
      </c>
      <c r="E176" s="18" t="s">
        <v>214</v>
      </c>
      <c r="F176" s="18">
        <v>100</v>
      </c>
      <c r="G176" s="18">
        <v>53</v>
      </c>
      <c r="H176" s="18"/>
      <c r="I176" s="8">
        <f t="shared" si="3"/>
        <v>5300</v>
      </c>
      <c r="J176" s="18">
        <v>4.9000000000000004</v>
      </c>
      <c r="K176" s="18"/>
      <c r="L176" s="18"/>
      <c r="M176" s="18"/>
      <c r="N176" s="18"/>
    </row>
    <row r="177" spans="1:14" x14ac:dyDescent="0.2">
      <c r="A177" s="4">
        <v>46004</v>
      </c>
      <c r="B177" s="1" t="s">
        <v>14</v>
      </c>
      <c r="C177" s="18" t="s">
        <v>20</v>
      </c>
      <c r="D177" s="18">
        <v>2959</v>
      </c>
      <c r="E177" s="18" t="s">
        <v>215</v>
      </c>
      <c r="F177" s="18">
        <v>2000</v>
      </c>
      <c r="G177" s="18">
        <v>6</v>
      </c>
      <c r="H177" s="18"/>
      <c r="I177" s="8">
        <f t="shared" si="3"/>
        <v>12000</v>
      </c>
      <c r="J177" s="18">
        <v>1.4</v>
      </c>
      <c r="K177" s="18"/>
      <c r="L177" s="18"/>
      <c r="M177" s="18"/>
      <c r="N177" s="18" t="s">
        <v>23</v>
      </c>
    </row>
    <row r="178" spans="1:14" x14ac:dyDescent="0.2">
      <c r="A178" s="4">
        <v>46004</v>
      </c>
      <c r="B178" s="1" t="s">
        <v>14</v>
      </c>
      <c r="C178" s="18" t="s">
        <v>24</v>
      </c>
      <c r="D178" s="18">
        <v>2858</v>
      </c>
      <c r="E178" s="18" t="s">
        <v>207</v>
      </c>
      <c r="F178" s="18">
        <v>500</v>
      </c>
      <c r="G178" s="18">
        <v>65</v>
      </c>
      <c r="H178" s="18"/>
      <c r="I178" s="8">
        <f t="shared" si="3"/>
        <v>32500</v>
      </c>
      <c r="J178" s="18">
        <v>10.8</v>
      </c>
      <c r="K178" s="18">
        <v>16.5</v>
      </c>
      <c r="L178" s="18"/>
      <c r="M178" s="18">
        <v>16.5</v>
      </c>
      <c r="N178" s="18" t="s">
        <v>216</v>
      </c>
    </row>
    <row r="179" spans="1:14" x14ac:dyDescent="0.2">
      <c r="A179" s="4">
        <v>46004</v>
      </c>
      <c r="B179" s="1" t="s">
        <v>14</v>
      </c>
      <c r="C179" s="18" t="s">
        <v>27</v>
      </c>
      <c r="D179" s="18">
        <v>3001</v>
      </c>
      <c r="E179" s="18" t="s">
        <v>217</v>
      </c>
      <c r="F179" s="18">
        <v>3000</v>
      </c>
      <c r="G179" s="18">
        <v>19</v>
      </c>
      <c r="H179" s="18">
        <v>1800</v>
      </c>
      <c r="I179" s="8">
        <f t="shared" si="3"/>
        <v>58800</v>
      </c>
      <c r="J179" s="18">
        <v>3.9</v>
      </c>
      <c r="K179" s="18">
        <v>4.3</v>
      </c>
      <c r="L179" s="18"/>
      <c r="M179" s="18"/>
      <c r="N179" s="18"/>
    </row>
    <row r="180" spans="1:14" x14ac:dyDescent="0.2">
      <c r="A180" s="4">
        <v>46004</v>
      </c>
      <c r="B180" s="1" t="s">
        <v>14</v>
      </c>
      <c r="C180" s="18" t="s">
        <v>27</v>
      </c>
      <c r="D180" s="18">
        <v>3014</v>
      </c>
      <c r="E180" s="18" t="s">
        <v>218</v>
      </c>
      <c r="F180" s="18">
        <v>1000</v>
      </c>
      <c r="G180" s="18">
        <v>4</v>
      </c>
      <c r="H180" s="18"/>
      <c r="I180" s="8">
        <f t="shared" si="3"/>
        <v>4000</v>
      </c>
      <c r="J180" s="18"/>
      <c r="K180" s="18">
        <v>0.7</v>
      </c>
      <c r="L180" s="18"/>
      <c r="M180" s="18"/>
      <c r="N180" s="18" t="s">
        <v>124</v>
      </c>
    </row>
    <row r="181" spans="1:14" x14ac:dyDescent="0.2">
      <c r="A181" s="4">
        <v>46004</v>
      </c>
      <c r="B181" s="1" t="s">
        <v>14</v>
      </c>
      <c r="C181" s="18" t="s">
        <v>27</v>
      </c>
      <c r="D181" s="18">
        <v>3104</v>
      </c>
      <c r="E181" s="18" t="s">
        <v>219</v>
      </c>
      <c r="F181" s="18">
        <v>1000</v>
      </c>
      <c r="G181" s="18">
        <v>6</v>
      </c>
      <c r="H181" s="18">
        <v>550</v>
      </c>
      <c r="I181" s="8">
        <f t="shared" si="3"/>
        <v>6550</v>
      </c>
      <c r="J181" s="18">
        <v>3.1</v>
      </c>
      <c r="K181" s="18"/>
      <c r="L181" s="18"/>
      <c r="M181" s="18"/>
      <c r="N181" s="18"/>
    </row>
    <row r="182" spans="1:14" x14ac:dyDescent="0.2">
      <c r="A182" s="4">
        <v>46004</v>
      </c>
      <c r="B182" s="1" t="s">
        <v>14</v>
      </c>
      <c r="C182" s="18" t="s">
        <v>27</v>
      </c>
      <c r="D182" s="18">
        <v>3251</v>
      </c>
      <c r="E182" s="18" t="s">
        <v>220</v>
      </c>
      <c r="F182" s="18">
        <v>2000</v>
      </c>
      <c r="G182" s="18">
        <v>10</v>
      </c>
      <c r="H182" s="18"/>
      <c r="I182" s="8">
        <f t="shared" si="3"/>
        <v>20000</v>
      </c>
      <c r="J182" s="18">
        <v>0.7</v>
      </c>
      <c r="K182" s="18"/>
      <c r="L182" s="18"/>
      <c r="M182" s="18"/>
      <c r="N182" s="18"/>
    </row>
    <row r="183" spans="1:14" x14ac:dyDescent="0.2">
      <c r="A183" s="4">
        <v>46004</v>
      </c>
      <c r="B183" s="1" t="s">
        <v>14</v>
      </c>
      <c r="C183" s="18" t="s">
        <v>56</v>
      </c>
      <c r="D183" s="18">
        <v>3041</v>
      </c>
      <c r="E183" s="18" t="s">
        <v>205</v>
      </c>
      <c r="F183" s="18">
        <v>400</v>
      </c>
      <c r="G183" s="18">
        <v>90</v>
      </c>
      <c r="H183" s="18">
        <v>120</v>
      </c>
      <c r="I183" s="8">
        <f t="shared" si="3"/>
        <v>36120</v>
      </c>
      <c r="J183" s="18">
        <v>13.5</v>
      </c>
      <c r="K183" s="18">
        <v>30.1</v>
      </c>
      <c r="L183" s="18"/>
      <c r="M183" s="18">
        <v>123.7</v>
      </c>
      <c r="N183" s="18"/>
    </row>
    <row r="184" spans="1:14" x14ac:dyDescent="0.2">
      <c r="A184" s="4">
        <v>46005</v>
      </c>
      <c r="B184" s="1" t="s">
        <v>40</v>
      </c>
      <c r="C184" s="18" t="s">
        <v>27</v>
      </c>
      <c r="D184" s="18">
        <v>3251</v>
      </c>
      <c r="E184" s="18" t="s">
        <v>220</v>
      </c>
      <c r="F184" s="18">
        <v>2000</v>
      </c>
      <c r="G184" s="18">
        <v>18</v>
      </c>
      <c r="H184" s="18">
        <v>785</v>
      </c>
      <c r="I184" s="8">
        <f t="shared" si="3"/>
        <v>36785</v>
      </c>
      <c r="J184" s="18">
        <v>1.4</v>
      </c>
      <c r="K184" s="18"/>
      <c r="L184" s="18">
        <v>3.4</v>
      </c>
      <c r="M184" s="18"/>
      <c r="N184" s="18"/>
    </row>
    <row r="185" spans="1:14" x14ac:dyDescent="0.2">
      <c r="A185" s="4">
        <v>46005</v>
      </c>
      <c r="B185" s="1" t="s">
        <v>40</v>
      </c>
      <c r="C185" s="18" t="s">
        <v>27</v>
      </c>
      <c r="D185" s="18">
        <v>3069</v>
      </c>
      <c r="E185" s="18" t="s">
        <v>221</v>
      </c>
      <c r="F185" s="18">
        <v>3000</v>
      </c>
      <c r="G185" s="18">
        <v>16</v>
      </c>
      <c r="H185" s="18">
        <v>3180</v>
      </c>
      <c r="I185" s="8">
        <f t="shared" si="3"/>
        <v>51180</v>
      </c>
      <c r="J185" s="18">
        <v>0.7</v>
      </c>
      <c r="K185" s="18"/>
      <c r="L185" s="18"/>
      <c r="M185" s="18"/>
      <c r="N185" s="18"/>
    </row>
    <row r="186" spans="1:14" x14ac:dyDescent="0.2">
      <c r="A186" s="4">
        <v>46005</v>
      </c>
      <c r="B186" s="1" t="s">
        <v>40</v>
      </c>
      <c r="C186" s="18" t="s">
        <v>24</v>
      </c>
      <c r="D186" s="18">
        <v>2858</v>
      </c>
      <c r="E186" s="18" t="s">
        <v>222</v>
      </c>
      <c r="F186" s="18">
        <v>500</v>
      </c>
      <c r="G186" s="18">
        <v>72</v>
      </c>
      <c r="H186" s="18"/>
      <c r="I186" s="8">
        <f t="shared" si="3"/>
        <v>36000</v>
      </c>
      <c r="J186" s="18">
        <v>13</v>
      </c>
      <c r="K186" s="18">
        <v>19</v>
      </c>
      <c r="L186" s="18"/>
      <c r="M186" s="18">
        <v>18.5</v>
      </c>
      <c r="N186" s="18"/>
    </row>
    <row r="187" spans="1:14" x14ac:dyDescent="0.2">
      <c r="A187" s="4">
        <v>46005</v>
      </c>
      <c r="B187" s="1" t="s">
        <v>40</v>
      </c>
      <c r="C187" s="18" t="s">
        <v>15</v>
      </c>
      <c r="D187" s="18">
        <v>3227</v>
      </c>
      <c r="E187" s="18" t="s">
        <v>212</v>
      </c>
      <c r="F187" s="18">
        <v>800</v>
      </c>
      <c r="G187" s="18">
        <v>9</v>
      </c>
      <c r="H187" s="18">
        <v>565</v>
      </c>
      <c r="I187" s="8">
        <f t="shared" si="3"/>
        <v>7765</v>
      </c>
      <c r="J187" s="18">
        <v>1.7</v>
      </c>
      <c r="K187" s="18"/>
      <c r="L187" s="18"/>
      <c r="M187" s="18"/>
      <c r="N187" s="18"/>
    </row>
    <row r="188" spans="1:14" x14ac:dyDescent="0.2">
      <c r="A188" s="4">
        <v>46005</v>
      </c>
      <c r="B188" s="1" t="s">
        <v>40</v>
      </c>
      <c r="C188" s="18" t="s">
        <v>15</v>
      </c>
      <c r="D188" s="18">
        <v>3182</v>
      </c>
      <c r="E188" s="18" t="s">
        <v>223</v>
      </c>
      <c r="F188" s="18">
        <v>125</v>
      </c>
      <c r="G188" s="18">
        <v>25</v>
      </c>
      <c r="H188" s="18"/>
      <c r="I188" s="8">
        <f t="shared" si="3"/>
        <v>3125</v>
      </c>
      <c r="J188" s="18">
        <v>3.6</v>
      </c>
      <c r="K188" s="18"/>
      <c r="L188" s="18"/>
      <c r="M188" s="18"/>
      <c r="N188" s="18"/>
    </row>
    <row r="189" spans="1:14" x14ac:dyDescent="0.2">
      <c r="A189" s="4">
        <v>46005</v>
      </c>
      <c r="B189" s="1" t="s">
        <v>40</v>
      </c>
      <c r="C189" s="18" t="s">
        <v>15</v>
      </c>
      <c r="D189" s="18">
        <v>3181</v>
      </c>
      <c r="E189" s="18" t="s">
        <v>224</v>
      </c>
      <c r="F189" s="18">
        <v>125</v>
      </c>
      <c r="G189" s="18">
        <v>25</v>
      </c>
      <c r="H189" s="18">
        <v>85</v>
      </c>
      <c r="I189" s="8">
        <f t="shared" si="3"/>
        <v>3210</v>
      </c>
      <c r="J189" s="18">
        <v>3.1</v>
      </c>
      <c r="K189" s="18"/>
      <c r="L189" s="18"/>
      <c r="M189" s="18"/>
      <c r="N189" s="18"/>
    </row>
    <row r="190" spans="1:14" x14ac:dyDescent="0.2">
      <c r="A190" s="4">
        <v>46005</v>
      </c>
      <c r="B190" s="1" t="s">
        <v>40</v>
      </c>
      <c r="C190" s="18" t="s">
        <v>15</v>
      </c>
      <c r="D190" s="18">
        <v>3248</v>
      </c>
      <c r="E190" s="18" t="s">
        <v>41</v>
      </c>
      <c r="F190" s="18">
        <v>500</v>
      </c>
      <c r="G190" s="18">
        <v>32</v>
      </c>
      <c r="H190" s="18"/>
      <c r="I190" s="8">
        <f t="shared" si="3"/>
        <v>16000</v>
      </c>
      <c r="J190" s="18">
        <v>0.7</v>
      </c>
      <c r="K190" s="18"/>
      <c r="L190" s="18"/>
      <c r="M190" s="18"/>
      <c r="N190" s="18"/>
    </row>
    <row r="191" spans="1:14" x14ac:dyDescent="0.2">
      <c r="A191" s="4">
        <v>46005</v>
      </c>
      <c r="B191" s="1" t="s">
        <v>40</v>
      </c>
      <c r="C191" s="18" t="s">
        <v>20</v>
      </c>
      <c r="D191" s="18">
        <v>2959</v>
      </c>
      <c r="E191" s="18" t="s">
        <v>225</v>
      </c>
      <c r="F191" s="18">
        <v>2000</v>
      </c>
      <c r="G191" s="18">
        <v>3</v>
      </c>
      <c r="H191" s="18"/>
      <c r="I191" s="8">
        <f t="shared" si="3"/>
        <v>6000</v>
      </c>
      <c r="J191" s="18">
        <v>0.7</v>
      </c>
      <c r="K191" s="18"/>
      <c r="L191" s="18"/>
      <c r="M191" s="18"/>
      <c r="N191" s="18"/>
    </row>
    <row r="192" spans="1:14" x14ac:dyDescent="0.2">
      <c r="A192" s="4">
        <v>46005</v>
      </c>
      <c r="B192" s="1" t="s">
        <v>40</v>
      </c>
      <c r="C192" s="18" t="s">
        <v>20</v>
      </c>
      <c r="D192" s="18">
        <v>3072</v>
      </c>
      <c r="E192" s="18" t="s">
        <v>226</v>
      </c>
      <c r="F192" s="18">
        <v>1000</v>
      </c>
      <c r="G192" s="18">
        <v>25</v>
      </c>
      <c r="H192" s="18">
        <v>700</v>
      </c>
      <c r="I192" s="8">
        <f t="shared" si="3"/>
        <v>25700</v>
      </c>
      <c r="J192" s="18">
        <v>2</v>
      </c>
      <c r="K192" s="18"/>
      <c r="L192" s="18"/>
      <c r="M192" s="18"/>
      <c r="N192" s="18"/>
    </row>
    <row r="193" spans="1:14" x14ac:dyDescent="0.2">
      <c r="A193" s="4">
        <v>46005</v>
      </c>
      <c r="B193" s="1" t="s">
        <v>40</v>
      </c>
      <c r="C193" s="18" t="s">
        <v>20</v>
      </c>
      <c r="D193" s="18">
        <v>3073</v>
      </c>
      <c r="E193" s="18" t="s">
        <v>226</v>
      </c>
      <c r="F193" s="18">
        <v>1500</v>
      </c>
      <c r="G193" s="18">
        <v>18</v>
      </c>
      <c r="H193" s="18"/>
      <c r="I193" s="8">
        <f t="shared" si="3"/>
        <v>27000</v>
      </c>
      <c r="J193" s="18">
        <v>0.7</v>
      </c>
      <c r="K193" s="18"/>
      <c r="L193" s="18"/>
      <c r="M193" s="18"/>
      <c r="N193" s="18"/>
    </row>
    <row r="194" spans="1:14" x14ac:dyDescent="0.2">
      <c r="A194" s="4">
        <v>46005</v>
      </c>
      <c r="B194" s="1" t="s">
        <v>40</v>
      </c>
      <c r="C194" s="18" t="s">
        <v>20</v>
      </c>
      <c r="D194" s="18">
        <v>3098</v>
      </c>
      <c r="E194" s="18" t="s">
        <v>42</v>
      </c>
      <c r="F194" s="18">
        <v>1000</v>
      </c>
      <c r="G194" s="18">
        <v>10</v>
      </c>
      <c r="H194" s="18">
        <v>100</v>
      </c>
      <c r="I194" s="8">
        <f t="shared" si="3"/>
        <v>10100</v>
      </c>
      <c r="J194" s="18">
        <v>0.7</v>
      </c>
      <c r="K194" s="18"/>
      <c r="L194" s="18"/>
      <c r="M194" s="18"/>
      <c r="N194" s="18"/>
    </row>
    <row r="195" spans="1:14" x14ac:dyDescent="0.2">
      <c r="A195" s="4">
        <v>46005</v>
      </c>
      <c r="B195" s="1" t="s">
        <v>40</v>
      </c>
      <c r="C195" s="18" t="s">
        <v>20</v>
      </c>
      <c r="D195" s="18">
        <v>3097</v>
      </c>
      <c r="E195" s="18" t="s">
        <v>42</v>
      </c>
      <c r="F195" s="18">
        <v>1000</v>
      </c>
      <c r="G195" s="18">
        <v>11</v>
      </c>
      <c r="H195" s="18">
        <v>400</v>
      </c>
      <c r="I195" s="8">
        <f t="shared" si="3"/>
        <v>11400</v>
      </c>
      <c r="J195" s="18">
        <v>0.2</v>
      </c>
      <c r="K195" s="18"/>
      <c r="L195" s="18"/>
      <c r="M195" s="18"/>
      <c r="N195" s="18"/>
    </row>
    <row r="196" spans="1:14" x14ac:dyDescent="0.2">
      <c r="A196" s="4">
        <v>46005</v>
      </c>
      <c r="B196" s="1" t="s">
        <v>40</v>
      </c>
      <c r="C196" s="18" t="s">
        <v>20</v>
      </c>
      <c r="D196" s="18">
        <v>3092</v>
      </c>
      <c r="E196" s="18" t="s">
        <v>227</v>
      </c>
      <c r="F196" s="18">
        <v>600</v>
      </c>
      <c r="G196" s="18">
        <v>17</v>
      </c>
      <c r="H196" s="18"/>
      <c r="I196" s="8">
        <f t="shared" si="3"/>
        <v>10200</v>
      </c>
      <c r="J196" s="18">
        <v>0.5</v>
      </c>
      <c r="K196" s="18"/>
      <c r="L196" s="18"/>
      <c r="M196" s="18"/>
      <c r="N196" s="18"/>
    </row>
    <row r="197" spans="1:14" x14ac:dyDescent="0.2">
      <c r="A197" s="4">
        <v>46006</v>
      </c>
      <c r="B197" s="1" t="s">
        <v>228</v>
      </c>
      <c r="C197" s="18" t="s">
        <v>15</v>
      </c>
      <c r="D197" s="18">
        <v>3248</v>
      </c>
      <c r="E197" s="18" t="s">
        <v>41</v>
      </c>
      <c r="F197" s="18">
        <v>500</v>
      </c>
      <c r="G197" s="18">
        <v>10</v>
      </c>
      <c r="H197" s="18">
        <v>380</v>
      </c>
      <c r="I197" s="8">
        <f t="shared" si="3"/>
        <v>5380</v>
      </c>
      <c r="J197" s="18">
        <v>0.3</v>
      </c>
      <c r="K197" s="18"/>
      <c r="L197" s="18"/>
      <c r="M197" s="18"/>
      <c r="N197" s="18"/>
    </row>
    <row r="198" spans="1:14" x14ac:dyDescent="0.2">
      <c r="A198" s="4">
        <v>46006</v>
      </c>
      <c r="B198" s="1" t="s">
        <v>228</v>
      </c>
      <c r="C198" s="18" t="s">
        <v>15</v>
      </c>
      <c r="D198" s="18">
        <v>3351</v>
      </c>
      <c r="E198" s="18" t="s">
        <v>229</v>
      </c>
      <c r="F198" s="18">
        <v>200</v>
      </c>
      <c r="G198" s="18">
        <v>9</v>
      </c>
      <c r="H198" s="18">
        <v>15</v>
      </c>
      <c r="I198" s="8">
        <f t="shared" si="3"/>
        <v>1815</v>
      </c>
      <c r="J198" s="18">
        <v>4</v>
      </c>
      <c r="K198" s="18"/>
      <c r="L198" s="18"/>
      <c r="M198" s="18"/>
      <c r="N198" s="18"/>
    </row>
    <row r="199" spans="1:14" x14ac:dyDescent="0.2">
      <c r="A199" s="4">
        <v>46006</v>
      </c>
      <c r="B199" s="1" t="s">
        <v>228</v>
      </c>
      <c r="C199" s="18" t="s">
        <v>15</v>
      </c>
      <c r="D199" s="18">
        <v>3204</v>
      </c>
      <c r="E199" s="18" t="s">
        <v>230</v>
      </c>
      <c r="F199" s="18">
        <v>250</v>
      </c>
      <c r="G199" s="18">
        <v>8</v>
      </c>
      <c r="H199" s="18">
        <v>75</v>
      </c>
      <c r="I199" s="8">
        <f t="shared" si="3"/>
        <v>2075</v>
      </c>
      <c r="J199" s="18">
        <v>1.7</v>
      </c>
      <c r="K199" s="18"/>
      <c r="L199" s="18"/>
      <c r="M199" s="18"/>
      <c r="N199" s="18" t="s">
        <v>231</v>
      </c>
    </row>
    <row r="200" spans="1:14" x14ac:dyDescent="0.2">
      <c r="A200" s="4">
        <v>46006</v>
      </c>
      <c r="B200" s="1" t="s">
        <v>228</v>
      </c>
      <c r="C200" s="18" t="s">
        <v>15</v>
      </c>
      <c r="D200" s="18">
        <v>2881</v>
      </c>
      <c r="E200" s="18" t="s">
        <v>232</v>
      </c>
      <c r="F200" s="18">
        <v>800</v>
      </c>
      <c r="G200" s="18">
        <v>27</v>
      </c>
      <c r="H200" s="18">
        <v>400</v>
      </c>
      <c r="I200" s="8">
        <f t="shared" si="3"/>
        <v>22000</v>
      </c>
      <c r="J200" s="18">
        <v>2.1</v>
      </c>
      <c r="K200" s="18"/>
      <c r="L200" s="18">
        <v>2.1</v>
      </c>
      <c r="M200" s="18"/>
      <c r="N200" s="18"/>
    </row>
    <row r="201" spans="1:14" x14ac:dyDescent="0.2">
      <c r="A201" s="4">
        <v>46006</v>
      </c>
      <c r="B201" s="1" t="s">
        <v>228</v>
      </c>
      <c r="C201" s="18" t="s">
        <v>20</v>
      </c>
      <c r="D201" s="18">
        <v>3317</v>
      </c>
      <c r="E201" s="18" t="s">
        <v>233</v>
      </c>
      <c r="F201" s="18">
        <v>1000</v>
      </c>
      <c r="G201" s="18">
        <v>21</v>
      </c>
      <c r="H201" s="18">
        <v>800</v>
      </c>
      <c r="I201" s="8">
        <f t="shared" si="3"/>
        <v>21800</v>
      </c>
      <c r="J201" s="18">
        <v>1</v>
      </c>
      <c r="K201" s="18"/>
      <c r="L201" s="18"/>
      <c r="M201" s="18"/>
      <c r="N201" s="18"/>
    </row>
    <row r="202" spans="1:14" x14ac:dyDescent="0.2">
      <c r="A202" s="4">
        <v>46006</v>
      </c>
      <c r="B202" s="1" t="s">
        <v>228</v>
      </c>
      <c r="C202" s="18" t="s">
        <v>20</v>
      </c>
      <c r="D202" s="18">
        <v>3166</v>
      </c>
      <c r="E202" s="18" t="s">
        <v>234</v>
      </c>
      <c r="F202" s="18">
        <v>800</v>
      </c>
      <c r="G202" s="18">
        <v>32</v>
      </c>
      <c r="H202" s="18"/>
      <c r="I202" s="8">
        <f t="shared" si="3"/>
        <v>25600</v>
      </c>
      <c r="J202" s="18">
        <v>2.2999999999999998</v>
      </c>
      <c r="K202" s="18"/>
      <c r="L202" s="18">
        <v>3</v>
      </c>
      <c r="M202" s="18"/>
      <c r="N202" s="18"/>
    </row>
    <row r="203" spans="1:14" x14ac:dyDescent="0.2">
      <c r="A203" s="4">
        <v>46006</v>
      </c>
      <c r="B203" s="1" t="s">
        <v>228</v>
      </c>
      <c r="C203" s="18" t="s">
        <v>24</v>
      </c>
      <c r="D203" s="18">
        <v>2858</v>
      </c>
      <c r="E203" s="18" t="s">
        <v>222</v>
      </c>
      <c r="F203" s="18">
        <v>500</v>
      </c>
      <c r="G203" s="18">
        <v>65</v>
      </c>
      <c r="H203" s="18"/>
      <c r="I203" s="8">
        <f t="shared" si="3"/>
        <v>32500</v>
      </c>
      <c r="J203" s="18">
        <v>5</v>
      </c>
      <c r="K203" s="18">
        <v>14.3</v>
      </c>
      <c r="L203" s="18"/>
      <c r="M203" s="18">
        <v>15.9</v>
      </c>
      <c r="N203" s="18"/>
    </row>
    <row r="204" spans="1:14" x14ac:dyDescent="0.2">
      <c r="A204" s="4">
        <v>46006</v>
      </c>
      <c r="B204" s="1" t="s">
        <v>228</v>
      </c>
      <c r="C204" s="18" t="s">
        <v>27</v>
      </c>
      <c r="D204" s="18">
        <v>3087</v>
      </c>
      <c r="E204" s="18" t="s">
        <v>235</v>
      </c>
      <c r="F204" s="18">
        <v>4000</v>
      </c>
      <c r="G204" s="18">
        <v>8</v>
      </c>
      <c r="H204" s="18">
        <v>1800</v>
      </c>
      <c r="I204" s="8">
        <f t="shared" si="3"/>
        <v>33800</v>
      </c>
      <c r="J204" s="18">
        <v>4.08</v>
      </c>
      <c r="K204" s="18"/>
      <c r="L204" s="18"/>
      <c r="M204" s="18"/>
      <c r="N204" s="18" t="s">
        <v>236</v>
      </c>
    </row>
    <row r="205" spans="1:14" x14ac:dyDescent="0.2">
      <c r="A205" s="4">
        <v>46006</v>
      </c>
      <c r="B205" s="1" t="s">
        <v>228</v>
      </c>
      <c r="C205" s="18" t="s">
        <v>27</v>
      </c>
      <c r="D205" s="18">
        <v>3106</v>
      </c>
      <c r="E205" s="18" t="s">
        <v>237</v>
      </c>
      <c r="F205" s="18">
        <v>2000</v>
      </c>
      <c r="G205" s="18">
        <v>15</v>
      </c>
      <c r="H205" s="18">
        <v>900</v>
      </c>
      <c r="I205" s="8">
        <f t="shared" si="3"/>
        <v>30900</v>
      </c>
      <c r="J205" s="18">
        <v>2.7</v>
      </c>
      <c r="K205" s="18"/>
      <c r="L205" s="18"/>
      <c r="M205" s="18"/>
      <c r="N205" s="18" t="s">
        <v>238</v>
      </c>
    </row>
    <row r="206" spans="1:14" x14ac:dyDescent="0.2">
      <c r="A206" s="4">
        <v>46006</v>
      </c>
      <c r="B206" s="1" t="s">
        <v>228</v>
      </c>
      <c r="C206" s="18" t="s">
        <v>33</v>
      </c>
      <c r="D206" s="18">
        <v>2941</v>
      </c>
      <c r="E206" s="18" t="s">
        <v>239</v>
      </c>
      <c r="F206" s="18">
        <v>700</v>
      </c>
      <c r="G206" s="18">
        <v>15</v>
      </c>
      <c r="H206" s="18">
        <v>200</v>
      </c>
      <c r="I206" s="8">
        <f t="shared" si="3"/>
        <v>10700</v>
      </c>
      <c r="J206" s="18">
        <v>1.2</v>
      </c>
      <c r="K206" s="18">
        <v>4</v>
      </c>
      <c r="L206" s="18"/>
      <c r="M206" s="18">
        <v>23.4</v>
      </c>
      <c r="N206" s="18"/>
    </row>
    <row r="207" spans="1:14" x14ac:dyDescent="0.2">
      <c r="A207" s="4">
        <v>46006</v>
      </c>
      <c r="B207" s="1" t="s">
        <v>228</v>
      </c>
      <c r="C207" s="18" t="s">
        <v>33</v>
      </c>
      <c r="D207" s="18">
        <v>2947</v>
      </c>
      <c r="E207" s="18" t="s">
        <v>240</v>
      </c>
      <c r="F207" s="18">
        <v>500</v>
      </c>
      <c r="G207" s="18">
        <v>19</v>
      </c>
      <c r="H207" s="18">
        <v>400</v>
      </c>
      <c r="I207" s="8">
        <f t="shared" si="3"/>
        <v>9900</v>
      </c>
      <c r="J207" s="18">
        <v>4</v>
      </c>
      <c r="K207" s="18">
        <v>2.2000000000000002</v>
      </c>
      <c r="L207" s="18"/>
      <c r="M207" s="18">
        <v>13.1</v>
      </c>
      <c r="N207" s="18"/>
    </row>
    <row r="208" spans="1:14" x14ac:dyDescent="0.2">
      <c r="A208" s="4">
        <v>46006</v>
      </c>
      <c r="B208" s="1" t="s">
        <v>228</v>
      </c>
      <c r="C208" s="18" t="s">
        <v>33</v>
      </c>
      <c r="D208" s="18">
        <v>2946</v>
      </c>
      <c r="E208" s="18" t="s">
        <v>241</v>
      </c>
      <c r="F208" s="18">
        <v>500</v>
      </c>
      <c r="G208" s="18">
        <v>43</v>
      </c>
      <c r="H208" s="18">
        <v>300</v>
      </c>
      <c r="I208" s="8">
        <f t="shared" si="3"/>
        <v>21800</v>
      </c>
      <c r="J208" s="18">
        <v>7.3</v>
      </c>
      <c r="K208" s="18">
        <v>6.1</v>
      </c>
      <c r="L208" s="18"/>
      <c r="M208" s="18">
        <v>64</v>
      </c>
      <c r="N208" s="18"/>
    </row>
    <row r="209" spans="1:14" x14ac:dyDescent="0.2">
      <c r="A209" s="4">
        <v>46006</v>
      </c>
      <c r="B209" s="1" t="s">
        <v>228</v>
      </c>
      <c r="C209" s="18" t="s">
        <v>37</v>
      </c>
      <c r="D209" s="18">
        <v>2914</v>
      </c>
      <c r="E209" s="18" t="s">
        <v>177</v>
      </c>
      <c r="F209" s="18">
        <v>350</v>
      </c>
      <c r="G209" s="18">
        <v>1</v>
      </c>
      <c r="H209" s="18"/>
      <c r="I209" s="8">
        <f t="shared" si="3"/>
        <v>350</v>
      </c>
      <c r="J209" s="18"/>
      <c r="K209" s="18"/>
      <c r="L209" s="18"/>
      <c r="M209" s="18"/>
      <c r="N209" s="18"/>
    </row>
    <row r="210" spans="1:14" x14ac:dyDescent="0.2">
      <c r="A210" s="4">
        <v>46006</v>
      </c>
      <c r="B210" s="1" t="s">
        <v>228</v>
      </c>
      <c r="C210" s="18" t="s">
        <v>20</v>
      </c>
      <c r="D210" s="18">
        <v>3122</v>
      </c>
      <c r="E210" s="18" t="s">
        <v>242</v>
      </c>
      <c r="F210" s="18">
        <v>1500</v>
      </c>
      <c r="G210" s="18">
        <v>27</v>
      </c>
      <c r="H210" s="18">
        <v>1400</v>
      </c>
      <c r="I210" s="8">
        <f t="shared" si="3"/>
        <v>41900</v>
      </c>
      <c r="J210" s="18">
        <v>1</v>
      </c>
      <c r="K210" s="18"/>
      <c r="L210" s="18"/>
      <c r="M210" s="18"/>
      <c r="N210" s="18"/>
    </row>
    <row r="211" spans="1:14" x14ac:dyDescent="0.2">
      <c r="A211" s="4">
        <v>46006</v>
      </c>
      <c r="B211" s="1" t="s">
        <v>228</v>
      </c>
      <c r="C211" s="18" t="s">
        <v>33</v>
      </c>
      <c r="D211" s="18">
        <v>2975</v>
      </c>
      <c r="E211" s="18" t="s">
        <v>243</v>
      </c>
      <c r="F211" s="18">
        <v>700</v>
      </c>
      <c r="G211" s="18">
        <v>16</v>
      </c>
      <c r="H211" s="18"/>
      <c r="I211" s="8">
        <f t="shared" si="3"/>
        <v>11200</v>
      </c>
      <c r="J211" s="18">
        <v>1</v>
      </c>
      <c r="K211" s="18">
        <v>2.2999999999999998</v>
      </c>
      <c r="L211" s="18"/>
      <c r="M211" s="18">
        <v>22</v>
      </c>
      <c r="N211" s="18"/>
    </row>
    <row r="212" spans="1:14" x14ac:dyDescent="0.2">
      <c r="A212" s="4">
        <v>46006</v>
      </c>
      <c r="B212" s="1" t="s">
        <v>228</v>
      </c>
      <c r="C212" s="18" t="s">
        <v>15</v>
      </c>
      <c r="D212" s="18">
        <v>3054</v>
      </c>
      <c r="E212" s="18" t="s">
        <v>244</v>
      </c>
      <c r="F212" s="18">
        <v>600</v>
      </c>
      <c r="G212" s="18">
        <v>15</v>
      </c>
      <c r="H212" s="18"/>
      <c r="I212" s="8">
        <f t="shared" si="3"/>
        <v>9000</v>
      </c>
      <c r="J212" s="18">
        <v>4.8</v>
      </c>
      <c r="K212" s="18"/>
      <c r="L212" s="18"/>
      <c r="M212" s="18"/>
      <c r="N212" s="18" t="s">
        <v>245</v>
      </c>
    </row>
    <row r="213" spans="1:14" x14ac:dyDescent="0.2">
      <c r="A213" s="4">
        <v>46006</v>
      </c>
      <c r="B213" s="1" t="s">
        <v>228</v>
      </c>
      <c r="C213" s="18" t="s">
        <v>20</v>
      </c>
      <c r="D213" s="18">
        <v>3236</v>
      </c>
      <c r="E213" s="18" t="s">
        <v>246</v>
      </c>
      <c r="F213" s="18">
        <v>800</v>
      </c>
      <c r="G213" s="18">
        <v>5</v>
      </c>
      <c r="H213" s="18"/>
      <c r="I213" s="8">
        <f t="shared" si="3"/>
        <v>4000</v>
      </c>
      <c r="J213" s="18">
        <v>1.5</v>
      </c>
      <c r="K213" s="18"/>
      <c r="L213" s="18"/>
      <c r="M213" s="18"/>
      <c r="N213" s="18"/>
    </row>
    <row r="214" spans="1:14" x14ac:dyDescent="0.2">
      <c r="A214" s="4">
        <v>46006</v>
      </c>
      <c r="B214" s="1" t="s">
        <v>228</v>
      </c>
      <c r="C214" s="18" t="s">
        <v>20</v>
      </c>
      <c r="D214" s="18">
        <v>3169</v>
      </c>
      <c r="E214" s="18" t="s">
        <v>247</v>
      </c>
      <c r="F214" s="18">
        <v>700</v>
      </c>
      <c r="G214" s="18">
        <v>7</v>
      </c>
      <c r="H214" s="18">
        <v>520</v>
      </c>
      <c r="I214" s="8">
        <f t="shared" si="3"/>
        <v>5420</v>
      </c>
      <c r="J214" s="18">
        <v>1</v>
      </c>
      <c r="K214" s="18"/>
      <c r="L214" s="18"/>
      <c r="M214" s="18"/>
      <c r="N214" s="18"/>
    </row>
    <row r="215" spans="1:14" x14ac:dyDescent="0.2">
      <c r="A215" s="4">
        <v>46006</v>
      </c>
      <c r="B215" s="1" t="s">
        <v>228</v>
      </c>
      <c r="C215" s="18" t="s">
        <v>37</v>
      </c>
      <c r="D215" s="18">
        <v>2915</v>
      </c>
      <c r="E215" s="18" t="s">
        <v>177</v>
      </c>
      <c r="F215" s="18"/>
      <c r="G215" s="18"/>
      <c r="H215" s="18">
        <v>50</v>
      </c>
      <c r="I215" s="8">
        <f t="shared" si="3"/>
        <v>50</v>
      </c>
      <c r="J215" s="18"/>
      <c r="K215" s="18"/>
      <c r="L215" s="18"/>
      <c r="M215" s="18"/>
      <c r="N215" s="18"/>
    </row>
    <row r="216" spans="1:14" x14ac:dyDescent="0.2">
      <c r="A216" s="4">
        <v>46006</v>
      </c>
      <c r="B216" s="1" t="s">
        <v>228</v>
      </c>
      <c r="C216" s="18" t="s">
        <v>37</v>
      </c>
      <c r="D216" s="18">
        <v>2973</v>
      </c>
      <c r="E216" s="18" t="s">
        <v>97</v>
      </c>
      <c r="F216" s="18">
        <v>125</v>
      </c>
      <c r="G216" s="18">
        <v>3</v>
      </c>
      <c r="H216" s="18">
        <v>50</v>
      </c>
      <c r="I216" s="8">
        <f t="shared" si="3"/>
        <v>425</v>
      </c>
      <c r="J216" s="18"/>
      <c r="K216" s="18"/>
      <c r="L216" s="18"/>
      <c r="M216" s="18"/>
      <c r="N216" s="18"/>
    </row>
    <row r="217" spans="1:14" x14ac:dyDescent="0.2">
      <c r="A217" s="4">
        <v>46007</v>
      </c>
      <c r="B217" s="1" t="s">
        <v>14</v>
      </c>
      <c r="C217" s="18" t="s">
        <v>15</v>
      </c>
      <c r="D217" s="18">
        <v>3054</v>
      </c>
      <c r="E217" s="18" t="s">
        <v>244</v>
      </c>
      <c r="F217" s="18">
        <v>600</v>
      </c>
      <c r="G217" s="18">
        <v>5</v>
      </c>
      <c r="H217" s="18">
        <v>100</v>
      </c>
      <c r="I217" s="8">
        <f t="shared" si="3"/>
        <v>3100</v>
      </c>
      <c r="J217" s="18">
        <v>0.3</v>
      </c>
      <c r="K217" s="18"/>
      <c r="L217" s="18"/>
      <c r="M217" s="18"/>
      <c r="N217" s="18"/>
    </row>
    <row r="218" spans="1:14" x14ac:dyDescent="0.2">
      <c r="A218" s="4">
        <v>46007</v>
      </c>
      <c r="B218" s="1" t="s">
        <v>14</v>
      </c>
      <c r="C218" s="18" t="s">
        <v>15</v>
      </c>
      <c r="D218" s="18">
        <v>3295</v>
      </c>
      <c r="E218" s="18" t="s">
        <v>248</v>
      </c>
      <c r="F218" s="18">
        <v>1500</v>
      </c>
      <c r="G218" s="18">
        <v>32</v>
      </c>
      <c r="H218" s="18">
        <v>200</v>
      </c>
      <c r="I218" s="8">
        <f t="shared" si="3"/>
        <v>48200</v>
      </c>
      <c r="J218" s="18">
        <v>3</v>
      </c>
      <c r="K218" s="18"/>
      <c r="L218" s="18"/>
      <c r="M218" s="18"/>
      <c r="N218" s="18"/>
    </row>
    <row r="219" spans="1:14" x14ac:dyDescent="0.2">
      <c r="A219" s="4">
        <v>46007</v>
      </c>
      <c r="B219" s="1" t="s">
        <v>14</v>
      </c>
      <c r="C219" s="18" t="s">
        <v>15</v>
      </c>
      <c r="D219" s="18">
        <v>3229</v>
      </c>
      <c r="E219" s="18" t="s">
        <v>249</v>
      </c>
      <c r="F219" s="18">
        <v>1000</v>
      </c>
      <c r="G219" s="18">
        <v>8</v>
      </c>
      <c r="H219" s="18"/>
      <c r="I219" s="8">
        <f t="shared" si="3"/>
        <v>8000</v>
      </c>
      <c r="J219" s="18">
        <v>2.6</v>
      </c>
      <c r="K219" s="18"/>
      <c r="L219" s="18"/>
      <c r="M219" s="18"/>
      <c r="N219" s="18"/>
    </row>
    <row r="220" spans="1:14" x14ac:dyDescent="0.2">
      <c r="A220" s="4">
        <v>46007</v>
      </c>
      <c r="B220" s="1" t="s">
        <v>14</v>
      </c>
      <c r="C220" s="18" t="s">
        <v>20</v>
      </c>
      <c r="D220" s="18">
        <v>3236</v>
      </c>
      <c r="E220" s="18" t="s">
        <v>246</v>
      </c>
      <c r="F220" s="18">
        <v>800</v>
      </c>
      <c r="G220" s="18">
        <v>32</v>
      </c>
      <c r="H220" s="18">
        <v>400</v>
      </c>
      <c r="I220" s="8">
        <f t="shared" si="3"/>
        <v>26000</v>
      </c>
      <c r="J220" s="18">
        <v>2.5</v>
      </c>
      <c r="K220" s="18"/>
      <c r="L220" s="18"/>
      <c r="M220" s="18"/>
      <c r="N220" s="18"/>
    </row>
    <row r="221" spans="1:14" x14ac:dyDescent="0.2">
      <c r="A221" s="4">
        <v>46007</v>
      </c>
      <c r="B221" s="1" t="s">
        <v>14</v>
      </c>
      <c r="C221" s="18" t="s">
        <v>20</v>
      </c>
      <c r="D221" s="18">
        <v>3150</v>
      </c>
      <c r="E221" s="18" t="s">
        <v>250</v>
      </c>
      <c r="F221" s="18">
        <v>700</v>
      </c>
      <c r="G221" s="18">
        <v>15</v>
      </c>
      <c r="H221" s="18">
        <v>380</v>
      </c>
      <c r="I221" s="8">
        <f t="shared" si="3"/>
        <v>10880</v>
      </c>
      <c r="J221" s="18">
        <v>1.9</v>
      </c>
      <c r="K221" s="18"/>
      <c r="L221" s="18"/>
      <c r="M221" s="18"/>
      <c r="N221" s="18"/>
    </row>
    <row r="222" spans="1:14" x14ac:dyDescent="0.2">
      <c r="A222" s="4">
        <v>46007</v>
      </c>
      <c r="B222" s="1" t="s">
        <v>14</v>
      </c>
      <c r="C222" s="18" t="s">
        <v>20</v>
      </c>
      <c r="D222" s="18">
        <v>3130</v>
      </c>
      <c r="E222" s="18" t="s">
        <v>251</v>
      </c>
      <c r="F222" s="18">
        <v>1500</v>
      </c>
      <c r="G222" s="18">
        <v>15</v>
      </c>
      <c r="H222" s="18"/>
      <c r="I222" s="8">
        <f t="shared" si="3"/>
        <v>22500</v>
      </c>
      <c r="J222" s="18">
        <v>1.3</v>
      </c>
      <c r="K222" s="18"/>
      <c r="L222" s="18">
        <v>3.8</v>
      </c>
      <c r="M222" s="18"/>
      <c r="N222" s="18"/>
    </row>
    <row r="223" spans="1:14" x14ac:dyDescent="0.2">
      <c r="A223" s="4">
        <v>46007</v>
      </c>
      <c r="B223" s="1" t="s">
        <v>14</v>
      </c>
      <c r="C223" s="18" t="s">
        <v>24</v>
      </c>
      <c r="D223" s="18">
        <v>2858</v>
      </c>
      <c r="E223" s="18" t="s">
        <v>222</v>
      </c>
      <c r="F223" s="18">
        <v>500</v>
      </c>
      <c r="G223" s="18">
        <v>44</v>
      </c>
      <c r="H223" s="18"/>
      <c r="I223" s="8">
        <f t="shared" si="3"/>
        <v>22000</v>
      </c>
      <c r="J223" s="18">
        <v>6.6</v>
      </c>
      <c r="K223" s="18">
        <v>14.3</v>
      </c>
      <c r="L223" s="18"/>
      <c r="M223" s="18">
        <v>11.7</v>
      </c>
      <c r="N223" s="18"/>
    </row>
    <row r="224" spans="1:14" x14ac:dyDescent="0.2">
      <c r="A224" s="4">
        <v>46007</v>
      </c>
      <c r="B224" s="1" t="s">
        <v>14</v>
      </c>
      <c r="C224" s="18" t="s">
        <v>24</v>
      </c>
      <c r="D224" s="18">
        <v>3081</v>
      </c>
      <c r="E224" s="18" t="s">
        <v>252</v>
      </c>
      <c r="F224" s="18">
        <v>500</v>
      </c>
      <c r="G224" s="18">
        <v>28</v>
      </c>
      <c r="H224" s="18"/>
      <c r="I224" s="8">
        <f t="shared" si="3"/>
        <v>14000</v>
      </c>
      <c r="J224" s="18">
        <v>4.5999999999999996</v>
      </c>
      <c r="K224" s="18">
        <v>9.8000000000000007</v>
      </c>
      <c r="L224" s="18"/>
      <c r="M224" s="18">
        <v>7.2</v>
      </c>
      <c r="N224" s="18"/>
    </row>
    <row r="225" spans="1:14" x14ac:dyDescent="0.2">
      <c r="A225" s="4">
        <v>46007</v>
      </c>
      <c r="B225" s="1" t="s">
        <v>14</v>
      </c>
      <c r="C225" s="18" t="s">
        <v>27</v>
      </c>
      <c r="D225" s="18">
        <v>3193</v>
      </c>
      <c r="E225" s="18" t="s">
        <v>253</v>
      </c>
      <c r="F225" s="18">
        <v>4000</v>
      </c>
      <c r="G225" s="18">
        <v>8</v>
      </c>
      <c r="H225" s="18"/>
      <c r="I225" s="8">
        <f t="shared" si="3"/>
        <v>32000</v>
      </c>
      <c r="J225" s="18">
        <v>6.6</v>
      </c>
      <c r="K225" s="18"/>
      <c r="L225" s="18"/>
      <c r="M225" s="18"/>
      <c r="N225" s="18"/>
    </row>
    <row r="226" spans="1:14" x14ac:dyDescent="0.2">
      <c r="A226" s="4">
        <v>46007</v>
      </c>
      <c r="B226" s="1" t="s">
        <v>14</v>
      </c>
      <c r="C226" s="18" t="s">
        <v>27</v>
      </c>
      <c r="D226" s="18">
        <v>3177</v>
      </c>
      <c r="E226" s="18" t="s">
        <v>254</v>
      </c>
      <c r="F226" s="18">
        <v>3000</v>
      </c>
      <c r="G226" s="18">
        <v>5</v>
      </c>
      <c r="H226" s="18">
        <v>1500</v>
      </c>
      <c r="I226" s="8">
        <f t="shared" si="3"/>
        <v>16500</v>
      </c>
      <c r="J226" s="18">
        <v>1</v>
      </c>
      <c r="K226" s="18"/>
      <c r="L226" s="18"/>
      <c r="M226" s="18"/>
      <c r="N226" s="18"/>
    </row>
    <row r="227" spans="1:14" x14ac:dyDescent="0.2">
      <c r="A227" s="4">
        <v>46007</v>
      </c>
      <c r="B227" s="1" t="s">
        <v>14</v>
      </c>
      <c r="C227" s="18" t="s">
        <v>27</v>
      </c>
      <c r="D227" s="18">
        <v>3179</v>
      </c>
      <c r="E227" s="18" t="s">
        <v>255</v>
      </c>
      <c r="F227" s="18">
        <v>1000</v>
      </c>
      <c r="G227" s="18">
        <v>30</v>
      </c>
      <c r="H227" s="18"/>
      <c r="I227" s="8">
        <f t="shared" si="3"/>
        <v>30000</v>
      </c>
      <c r="J227" s="18">
        <v>1.8</v>
      </c>
      <c r="K227" s="18"/>
      <c r="L227" s="18"/>
      <c r="M227" s="18"/>
      <c r="N227" s="18"/>
    </row>
    <row r="228" spans="1:14" x14ac:dyDescent="0.2">
      <c r="A228" s="4">
        <v>46007</v>
      </c>
      <c r="B228" s="1" t="s">
        <v>14</v>
      </c>
      <c r="C228" s="18" t="s">
        <v>33</v>
      </c>
      <c r="D228" s="18">
        <v>2967</v>
      </c>
      <c r="E228" s="18" t="s">
        <v>256</v>
      </c>
      <c r="F228" s="18">
        <v>1000</v>
      </c>
      <c r="G228" s="18">
        <v>47</v>
      </c>
      <c r="H228" s="18">
        <v>450</v>
      </c>
      <c r="I228" s="8">
        <f t="shared" si="3"/>
        <v>47450</v>
      </c>
      <c r="J228" s="18">
        <v>1.4</v>
      </c>
      <c r="K228" s="18">
        <v>3.1</v>
      </c>
      <c r="L228" s="18">
        <v>1.2</v>
      </c>
      <c r="M228" s="18">
        <v>36</v>
      </c>
      <c r="N228" s="18"/>
    </row>
    <row r="229" spans="1:14" x14ac:dyDescent="0.2">
      <c r="A229" s="20">
        <v>46007</v>
      </c>
      <c r="B229" s="10" t="s">
        <v>14</v>
      </c>
      <c r="C229" s="21" t="s">
        <v>33</v>
      </c>
      <c r="D229" s="18">
        <v>3052</v>
      </c>
      <c r="E229" s="21" t="s">
        <v>257</v>
      </c>
      <c r="F229" s="21">
        <v>1000</v>
      </c>
      <c r="G229" s="21">
        <v>11</v>
      </c>
      <c r="H229" s="21">
        <v>800</v>
      </c>
      <c r="I229" s="22">
        <f t="shared" si="3"/>
        <v>11800</v>
      </c>
      <c r="J229" s="21">
        <v>0.5</v>
      </c>
      <c r="K229" s="21">
        <v>0.3</v>
      </c>
      <c r="L229" s="21"/>
      <c r="M229" s="21">
        <v>11.9</v>
      </c>
      <c r="N229" s="21"/>
    </row>
    <row r="230" spans="1:14" x14ac:dyDescent="0.2">
      <c r="A230" s="23">
        <v>46008</v>
      </c>
      <c r="B230" s="18" t="s">
        <v>40</v>
      </c>
      <c r="C230" s="21" t="s">
        <v>24</v>
      </c>
      <c r="D230" s="18">
        <v>3081</v>
      </c>
      <c r="E230" s="21" t="s">
        <v>252</v>
      </c>
      <c r="F230" s="21">
        <v>500</v>
      </c>
      <c r="G230" s="21">
        <v>9</v>
      </c>
      <c r="H230" s="21">
        <v>250</v>
      </c>
      <c r="I230" s="8">
        <f t="shared" si="3"/>
        <v>4750</v>
      </c>
      <c r="J230" s="21">
        <v>1.35</v>
      </c>
      <c r="K230" s="21">
        <v>2.85</v>
      </c>
      <c r="L230" s="21"/>
      <c r="M230" s="21"/>
      <c r="N230" s="21"/>
    </row>
    <row r="231" spans="1:14" x14ac:dyDescent="0.2">
      <c r="A231" s="23">
        <v>46008</v>
      </c>
      <c r="B231" s="18" t="s">
        <v>40</v>
      </c>
      <c r="C231" s="21" t="s">
        <v>24</v>
      </c>
      <c r="D231" s="18">
        <v>2858</v>
      </c>
      <c r="E231" s="21" t="s">
        <v>222</v>
      </c>
      <c r="F231" s="21">
        <v>500</v>
      </c>
      <c r="G231" s="21">
        <v>59</v>
      </c>
      <c r="H231" s="21"/>
      <c r="I231" s="8">
        <f t="shared" si="3"/>
        <v>29500</v>
      </c>
      <c r="J231" s="21">
        <v>9.5</v>
      </c>
      <c r="K231" s="21">
        <v>22.5</v>
      </c>
      <c r="L231" s="21"/>
      <c r="M231" s="21">
        <v>15.1</v>
      </c>
      <c r="N231" s="21"/>
    </row>
    <row r="232" spans="1:14" x14ac:dyDescent="0.2">
      <c r="A232" s="23">
        <v>46008</v>
      </c>
      <c r="B232" s="18" t="s">
        <v>40</v>
      </c>
      <c r="C232" s="21" t="s">
        <v>27</v>
      </c>
      <c r="D232" s="18">
        <v>3173</v>
      </c>
      <c r="E232" s="21" t="s">
        <v>255</v>
      </c>
      <c r="F232" s="21">
        <v>1000</v>
      </c>
      <c r="G232" s="21">
        <v>3</v>
      </c>
      <c r="H232" s="21">
        <v>600</v>
      </c>
      <c r="I232" s="8">
        <f t="shared" si="3"/>
        <v>3600</v>
      </c>
      <c r="J232" s="21"/>
      <c r="K232" s="21"/>
      <c r="L232" s="21"/>
      <c r="M232" s="21"/>
      <c r="N232" s="21"/>
    </row>
    <row r="233" spans="1:14" x14ac:dyDescent="0.2">
      <c r="A233" s="23">
        <v>46008</v>
      </c>
      <c r="B233" s="18" t="s">
        <v>40</v>
      </c>
      <c r="C233" s="21" t="s">
        <v>27</v>
      </c>
      <c r="D233" s="18">
        <v>3193</v>
      </c>
      <c r="E233" s="21" t="s">
        <v>253</v>
      </c>
      <c r="F233" s="21">
        <v>4000</v>
      </c>
      <c r="G233" s="21">
        <v>7</v>
      </c>
      <c r="H233" s="21"/>
      <c r="I233" s="8">
        <f t="shared" si="3"/>
        <v>28000</v>
      </c>
      <c r="J233" s="21">
        <v>0.5</v>
      </c>
      <c r="K233" s="21"/>
      <c r="L233" s="21"/>
      <c r="M233" s="21"/>
      <c r="N233" s="21"/>
    </row>
    <row r="234" spans="1:14" x14ac:dyDescent="0.2">
      <c r="A234" s="23">
        <v>46008</v>
      </c>
      <c r="B234" s="18" t="s">
        <v>40</v>
      </c>
      <c r="C234" s="21" t="s">
        <v>27</v>
      </c>
      <c r="D234" s="18">
        <v>3192</v>
      </c>
      <c r="E234" s="21" t="s">
        <v>258</v>
      </c>
      <c r="F234" s="21">
        <v>6000</v>
      </c>
      <c r="G234" s="21">
        <v>7</v>
      </c>
      <c r="H234" s="21"/>
      <c r="I234" s="8">
        <f t="shared" si="3"/>
        <v>42000</v>
      </c>
      <c r="J234" s="21">
        <v>0.1</v>
      </c>
      <c r="K234" s="21"/>
      <c r="L234" s="21"/>
      <c r="M234" s="21"/>
      <c r="N234" s="21"/>
    </row>
    <row r="235" spans="1:14" x14ac:dyDescent="0.2">
      <c r="A235" s="23">
        <v>46008</v>
      </c>
      <c r="B235" s="18" t="s">
        <v>40</v>
      </c>
      <c r="C235" s="21" t="s">
        <v>15</v>
      </c>
      <c r="D235" s="18">
        <v>3229</v>
      </c>
      <c r="E235" s="21" t="s">
        <v>249</v>
      </c>
      <c r="F235" s="21">
        <v>1000</v>
      </c>
      <c r="G235" s="21">
        <v>12</v>
      </c>
      <c r="H235" s="21"/>
      <c r="I235" s="8">
        <f t="shared" si="3"/>
        <v>12000</v>
      </c>
      <c r="J235" s="21"/>
      <c r="K235" s="21"/>
      <c r="L235" s="21"/>
      <c r="M235" s="21"/>
      <c r="N235" s="21" t="s">
        <v>259</v>
      </c>
    </row>
    <row r="236" spans="1:14" x14ac:dyDescent="0.2">
      <c r="A236" s="23">
        <v>46008</v>
      </c>
      <c r="B236" s="18" t="s">
        <v>40</v>
      </c>
      <c r="C236" s="21" t="s">
        <v>15</v>
      </c>
      <c r="D236" s="18">
        <v>2920</v>
      </c>
      <c r="E236" s="21" t="s">
        <v>260</v>
      </c>
      <c r="F236" s="21">
        <v>175</v>
      </c>
      <c r="G236" s="21">
        <v>57</v>
      </c>
      <c r="H236" s="21"/>
      <c r="I236" s="8">
        <f t="shared" ref="I236:I299" si="4">F236*G236+H236</f>
        <v>9975</v>
      </c>
      <c r="J236" s="21">
        <v>10.7</v>
      </c>
      <c r="K236" s="21">
        <v>32.9</v>
      </c>
      <c r="L236" s="21"/>
      <c r="M236" s="21"/>
      <c r="N236" s="21"/>
    </row>
    <row r="237" spans="1:14" x14ac:dyDescent="0.2">
      <c r="A237" s="23">
        <v>46008</v>
      </c>
      <c r="B237" s="18" t="s">
        <v>40</v>
      </c>
      <c r="C237" s="21" t="s">
        <v>20</v>
      </c>
      <c r="D237" s="18">
        <v>3130</v>
      </c>
      <c r="E237" s="21" t="s">
        <v>251</v>
      </c>
      <c r="F237" s="21">
        <v>1500</v>
      </c>
      <c r="G237" s="21">
        <v>22</v>
      </c>
      <c r="H237" s="21">
        <v>1400</v>
      </c>
      <c r="I237" s="8">
        <f t="shared" si="4"/>
        <v>34400</v>
      </c>
      <c r="J237" s="21">
        <v>2.6</v>
      </c>
      <c r="K237" s="21"/>
      <c r="L237" s="21">
        <v>8.3000000000000007</v>
      </c>
      <c r="M237" s="21"/>
      <c r="N237" s="21"/>
    </row>
    <row r="238" spans="1:14" x14ac:dyDescent="0.2">
      <c r="A238" s="23">
        <v>46008</v>
      </c>
      <c r="B238" s="18" t="s">
        <v>40</v>
      </c>
      <c r="C238" s="21" t="s">
        <v>20</v>
      </c>
      <c r="D238" s="18">
        <v>3294</v>
      </c>
      <c r="E238" s="21" t="s">
        <v>261</v>
      </c>
      <c r="F238" s="21">
        <v>1500</v>
      </c>
      <c r="G238" s="21">
        <v>16</v>
      </c>
      <c r="H238" s="21"/>
      <c r="I238" s="8">
        <f t="shared" si="4"/>
        <v>24000</v>
      </c>
      <c r="J238" s="21"/>
      <c r="K238" s="21">
        <v>1.3</v>
      </c>
      <c r="L238" s="21"/>
      <c r="M238" s="21"/>
      <c r="N238" s="21"/>
    </row>
    <row r="239" spans="1:14" x14ac:dyDescent="0.2">
      <c r="A239" s="23">
        <v>46008</v>
      </c>
      <c r="B239" s="18" t="s">
        <v>40</v>
      </c>
      <c r="C239" s="21" t="s">
        <v>87</v>
      </c>
      <c r="D239" s="18">
        <v>3053</v>
      </c>
      <c r="E239" s="21" t="s">
        <v>262</v>
      </c>
      <c r="F239" s="21">
        <v>500</v>
      </c>
      <c r="G239" s="21">
        <v>25</v>
      </c>
      <c r="H239" s="21">
        <v>275</v>
      </c>
      <c r="I239" s="8">
        <f t="shared" si="4"/>
        <v>12775</v>
      </c>
      <c r="J239" s="21">
        <v>4.5</v>
      </c>
      <c r="K239" s="21">
        <v>3.5</v>
      </c>
      <c r="L239" s="21"/>
      <c r="M239" s="21">
        <v>36.700000000000003</v>
      </c>
      <c r="N239" s="21"/>
    </row>
    <row r="240" spans="1:14" x14ac:dyDescent="0.2">
      <c r="A240" s="23">
        <v>46008</v>
      </c>
      <c r="B240" s="18" t="s">
        <v>40</v>
      </c>
      <c r="C240" s="21" t="s">
        <v>87</v>
      </c>
      <c r="D240" s="18">
        <v>3206</v>
      </c>
      <c r="E240" s="21" t="s">
        <v>263</v>
      </c>
      <c r="F240" s="21">
        <v>500</v>
      </c>
      <c r="G240" s="21">
        <v>96</v>
      </c>
      <c r="H240" s="21">
        <v>100</v>
      </c>
      <c r="I240" s="8">
        <f t="shared" si="4"/>
        <v>48100</v>
      </c>
      <c r="J240" s="21">
        <v>4.5</v>
      </c>
      <c r="K240" s="21">
        <v>4.2</v>
      </c>
      <c r="L240" s="21"/>
      <c r="M240" s="21">
        <v>142.5</v>
      </c>
      <c r="N240" s="21"/>
    </row>
    <row r="241" spans="1:14" x14ac:dyDescent="0.2">
      <c r="A241" s="23">
        <v>46009</v>
      </c>
      <c r="B241" s="18" t="s">
        <v>228</v>
      </c>
      <c r="C241" s="21" t="s">
        <v>15</v>
      </c>
      <c r="D241" s="18">
        <v>2920</v>
      </c>
      <c r="E241" s="21" t="s">
        <v>260</v>
      </c>
      <c r="F241" s="21">
        <v>175</v>
      </c>
      <c r="G241" s="21">
        <v>84</v>
      </c>
      <c r="H241" s="21"/>
      <c r="I241" s="8">
        <f t="shared" si="4"/>
        <v>14700</v>
      </c>
      <c r="J241" s="21">
        <v>10.7</v>
      </c>
      <c r="K241" s="21">
        <v>81.8</v>
      </c>
      <c r="L241" s="21"/>
      <c r="M241" s="21"/>
      <c r="N241" s="21"/>
    </row>
    <row r="242" spans="1:14" x14ac:dyDescent="0.2">
      <c r="A242" s="23">
        <v>46009</v>
      </c>
      <c r="B242" s="18" t="s">
        <v>228</v>
      </c>
      <c r="C242" s="21" t="s">
        <v>20</v>
      </c>
      <c r="D242" s="18">
        <v>3294</v>
      </c>
      <c r="E242" s="21" t="s">
        <v>261</v>
      </c>
      <c r="F242" s="21">
        <v>1500</v>
      </c>
      <c r="G242" s="21">
        <v>21</v>
      </c>
      <c r="H242" s="21">
        <v>1650</v>
      </c>
      <c r="I242" s="8">
        <f t="shared" si="4"/>
        <v>33150</v>
      </c>
      <c r="J242" s="21">
        <v>4.9000000000000004</v>
      </c>
      <c r="K242" s="21">
        <v>2.4</v>
      </c>
      <c r="L242" s="21">
        <v>2</v>
      </c>
      <c r="M242" s="21"/>
      <c r="N242" s="21"/>
    </row>
    <row r="243" spans="1:14" x14ac:dyDescent="0.2">
      <c r="A243" s="23">
        <v>46009</v>
      </c>
      <c r="B243" s="18" t="s">
        <v>228</v>
      </c>
      <c r="C243" s="21" t="s">
        <v>20</v>
      </c>
      <c r="D243" s="18">
        <v>3196</v>
      </c>
      <c r="E243" s="21" t="s">
        <v>264</v>
      </c>
      <c r="F243" s="21">
        <v>2600</v>
      </c>
      <c r="G243" s="21">
        <v>14</v>
      </c>
      <c r="H243" s="21">
        <v>2450</v>
      </c>
      <c r="I243" s="8">
        <f t="shared" si="4"/>
        <v>38850</v>
      </c>
      <c r="J243" s="21">
        <v>1</v>
      </c>
      <c r="K243" s="21"/>
      <c r="L243" s="21">
        <v>0.7</v>
      </c>
      <c r="M243" s="21"/>
      <c r="N243" s="21"/>
    </row>
    <row r="244" spans="1:14" x14ac:dyDescent="0.2">
      <c r="A244" s="23">
        <v>46009</v>
      </c>
      <c r="B244" s="18" t="s">
        <v>228</v>
      </c>
      <c r="C244" s="21" t="s">
        <v>20</v>
      </c>
      <c r="D244" s="18">
        <v>3241</v>
      </c>
      <c r="E244" s="21" t="s">
        <v>265</v>
      </c>
      <c r="F244" s="21">
        <v>600</v>
      </c>
      <c r="G244" s="21">
        <v>16</v>
      </c>
      <c r="H244" s="21"/>
      <c r="I244" s="8">
        <f t="shared" si="4"/>
        <v>9600</v>
      </c>
      <c r="J244" s="21">
        <v>1.8</v>
      </c>
      <c r="K244" s="21"/>
      <c r="L244" s="21"/>
      <c r="M244" s="21"/>
      <c r="N244" s="21"/>
    </row>
    <row r="245" spans="1:14" x14ac:dyDescent="0.2">
      <c r="A245" s="23">
        <v>46009</v>
      </c>
      <c r="B245" s="18" t="s">
        <v>228</v>
      </c>
      <c r="C245" s="21" t="s">
        <v>20</v>
      </c>
      <c r="D245" s="18">
        <v>3149</v>
      </c>
      <c r="E245" s="21" t="s">
        <v>266</v>
      </c>
      <c r="F245" s="21">
        <v>500</v>
      </c>
      <c r="G245" s="21">
        <v>14</v>
      </c>
      <c r="H245" s="21"/>
      <c r="I245" s="8">
        <f t="shared" si="4"/>
        <v>7000</v>
      </c>
      <c r="J245" s="21">
        <v>1</v>
      </c>
      <c r="K245" s="21"/>
      <c r="L245" s="21"/>
      <c r="M245" s="21"/>
      <c r="N245" s="21"/>
    </row>
    <row r="246" spans="1:14" x14ac:dyDescent="0.2">
      <c r="A246" s="23">
        <v>46009</v>
      </c>
      <c r="B246" s="18" t="s">
        <v>228</v>
      </c>
      <c r="C246" s="21" t="s">
        <v>27</v>
      </c>
      <c r="D246" s="18">
        <v>3130</v>
      </c>
      <c r="E246" s="21" t="s">
        <v>251</v>
      </c>
      <c r="F246" s="21">
        <v>1500</v>
      </c>
      <c r="G246" s="21">
        <v>1</v>
      </c>
      <c r="H246" s="21"/>
      <c r="I246" s="8">
        <f t="shared" si="4"/>
        <v>1500</v>
      </c>
      <c r="J246" s="21">
        <v>0.4</v>
      </c>
      <c r="K246" s="21"/>
      <c r="L246" s="21"/>
      <c r="M246" s="21"/>
      <c r="N246" s="21"/>
    </row>
    <row r="247" spans="1:14" x14ac:dyDescent="0.2">
      <c r="A247" s="23">
        <v>46009</v>
      </c>
      <c r="B247" s="18" t="s">
        <v>228</v>
      </c>
      <c r="C247" s="21" t="s">
        <v>24</v>
      </c>
      <c r="D247" s="18">
        <v>2858</v>
      </c>
      <c r="E247" s="21" t="s">
        <v>222</v>
      </c>
      <c r="F247" s="21">
        <v>500</v>
      </c>
      <c r="G247" s="21">
        <v>59</v>
      </c>
      <c r="H247" s="21"/>
      <c r="I247" s="8">
        <f t="shared" si="4"/>
        <v>29500</v>
      </c>
      <c r="J247" s="21">
        <v>6.6</v>
      </c>
      <c r="K247" s="21">
        <v>20</v>
      </c>
      <c r="L247" s="21"/>
      <c r="M247" s="21">
        <v>15.7</v>
      </c>
      <c r="N247" s="21"/>
    </row>
    <row r="248" spans="1:14" x14ac:dyDescent="0.2">
      <c r="A248" s="23">
        <v>46009</v>
      </c>
      <c r="B248" s="18" t="s">
        <v>228</v>
      </c>
      <c r="C248" s="21" t="s">
        <v>27</v>
      </c>
      <c r="D248" s="18">
        <v>3192</v>
      </c>
      <c r="E248" s="21" t="s">
        <v>258</v>
      </c>
      <c r="F248" s="21">
        <v>6000</v>
      </c>
      <c r="G248" s="21">
        <v>10</v>
      </c>
      <c r="H248" s="21">
        <v>2000</v>
      </c>
      <c r="I248" s="8">
        <f t="shared" si="4"/>
        <v>62000</v>
      </c>
      <c r="J248" s="21">
        <v>0.2</v>
      </c>
      <c r="K248" s="21"/>
      <c r="L248" s="21"/>
      <c r="M248" s="21"/>
      <c r="N248" s="21"/>
    </row>
    <row r="249" spans="1:14" x14ac:dyDescent="0.2">
      <c r="A249" s="23">
        <v>46009</v>
      </c>
      <c r="B249" s="18" t="s">
        <v>228</v>
      </c>
      <c r="C249" s="21" t="s">
        <v>27</v>
      </c>
      <c r="D249" s="18">
        <v>2940</v>
      </c>
      <c r="E249" s="21" t="s">
        <v>267</v>
      </c>
      <c r="F249" s="21">
        <v>1500</v>
      </c>
      <c r="G249" s="21">
        <v>14</v>
      </c>
      <c r="H249" s="21">
        <v>450</v>
      </c>
      <c r="I249" s="8">
        <f t="shared" si="4"/>
        <v>21450</v>
      </c>
      <c r="J249" s="21">
        <v>3.2</v>
      </c>
      <c r="K249" s="21">
        <v>10</v>
      </c>
      <c r="L249" s="21"/>
      <c r="M249" s="21"/>
      <c r="N249" s="21"/>
    </row>
    <row r="250" spans="1:14" x14ac:dyDescent="0.2">
      <c r="A250" s="23">
        <v>46009</v>
      </c>
      <c r="B250" s="18" t="s">
        <v>228</v>
      </c>
      <c r="C250" s="21" t="s">
        <v>87</v>
      </c>
      <c r="D250" s="18">
        <v>3105</v>
      </c>
      <c r="E250" s="21" t="s">
        <v>268</v>
      </c>
      <c r="F250" s="21">
        <v>500</v>
      </c>
      <c r="G250" s="21">
        <v>32</v>
      </c>
      <c r="H250" s="21"/>
      <c r="I250" s="8">
        <f t="shared" si="4"/>
        <v>16000</v>
      </c>
      <c r="J250" s="21">
        <v>5.5</v>
      </c>
      <c r="K250" s="21">
        <v>2.5</v>
      </c>
      <c r="L250" s="21"/>
      <c r="M250" s="21">
        <v>40.700000000000003</v>
      </c>
      <c r="N250" s="21" t="s">
        <v>269</v>
      </c>
    </row>
    <row r="251" spans="1:14" x14ac:dyDescent="0.2">
      <c r="A251" s="23">
        <v>46009</v>
      </c>
      <c r="B251" s="18" t="s">
        <v>228</v>
      </c>
      <c r="C251" s="21" t="s">
        <v>87</v>
      </c>
      <c r="D251" s="18">
        <v>3139</v>
      </c>
      <c r="E251" s="21" t="s">
        <v>270</v>
      </c>
      <c r="F251" s="21">
        <v>500</v>
      </c>
      <c r="G251" s="21">
        <v>21</v>
      </c>
      <c r="H251" s="21"/>
      <c r="I251" s="8">
        <f t="shared" si="4"/>
        <v>10500</v>
      </c>
      <c r="J251" s="21">
        <v>9.6</v>
      </c>
      <c r="K251" s="21">
        <v>6.7</v>
      </c>
      <c r="L251" s="21"/>
      <c r="M251" s="21">
        <v>33.299999999999997</v>
      </c>
      <c r="N251" s="21"/>
    </row>
    <row r="252" spans="1:14" x14ac:dyDescent="0.2">
      <c r="A252" s="23">
        <v>46009</v>
      </c>
      <c r="B252" s="18" t="s">
        <v>228</v>
      </c>
      <c r="C252" s="21" t="s">
        <v>87</v>
      </c>
      <c r="D252" s="18">
        <v>3086</v>
      </c>
      <c r="E252" s="21" t="s">
        <v>271</v>
      </c>
      <c r="F252" s="21">
        <v>1000</v>
      </c>
      <c r="G252" s="21">
        <v>49</v>
      </c>
      <c r="H252" s="21">
        <v>200</v>
      </c>
      <c r="I252" s="8">
        <f t="shared" si="4"/>
        <v>49200</v>
      </c>
      <c r="J252" s="21">
        <v>3.2</v>
      </c>
      <c r="K252" s="21"/>
      <c r="L252" s="21">
        <v>3.2</v>
      </c>
      <c r="M252" s="21">
        <v>32</v>
      </c>
      <c r="N252" s="21"/>
    </row>
    <row r="253" spans="1:14" x14ac:dyDescent="0.2">
      <c r="A253" s="23">
        <v>46009</v>
      </c>
      <c r="B253" s="18" t="s">
        <v>228</v>
      </c>
      <c r="C253" s="21" t="s">
        <v>272</v>
      </c>
      <c r="D253" s="18">
        <v>3037</v>
      </c>
      <c r="E253" s="21" t="s">
        <v>273</v>
      </c>
      <c r="F253" s="21">
        <v>500</v>
      </c>
      <c r="G253" s="21">
        <v>14</v>
      </c>
      <c r="H253" s="21"/>
      <c r="I253" s="8">
        <f t="shared" si="4"/>
        <v>7000</v>
      </c>
      <c r="J253" s="21">
        <v>4.4000000000000004</v>
      </c>
      <c r="K253" s="21"/>
      <c r="L253" s="21"/>
      <c r="M253" s="21">
        <v>20.5</v>
      </c>
      <c r="N253" s="21"/>
    </row>
    <row r="254" spans="1:14" x14ac:dyDescent="0.2">
      <c r="A254" s="23">
        <v>46009</v>
      </c>
      <c r="B254" s="18" t="s">
        <v>228</v>
      </c>
      <c r="C254" s="21" t="s">
        <v>37</v>
      </c>
      <c r="D254" s="18">
        <v>2973</v>
      </c>
      <c r="E254" s="21" t="s">
        <v>274</v>
      </c>
      <c r="F254" s="21">
        <v>125</v>
      </c>
      <c r="G254" s="21">
        <v>3</v>
      </c>
      <c r="H254" s="21"/>
      <c r="I254" s="8">
        <f t="shared" si="4"/>
        <v>375</v>
      </c>
      <c r="J254" s="21"/>
      <c r="K254" s="21"/>
      <c r="L254" s="21"/>
      <c r="M254" s="21"/>
      <c r="N254" s="21"/>
    </row>
    <row r="255" spans="1:14" x14ac:dyDescent="0.2">
      <c r="A255" s="23">
        <v>46010</v>
      </c>
      <c r="B255" s="18" t="s">
        <v>14</v>
      </c>
      <c r="C255" s="21" t="s">
        <v>15</v>
      </c>
      <c r="D255" s="18">
        <v>2920</v>
      </c>
      <c r="E255" s="21" t="s">
        <v>260</v>
      </c>
      <c r="F255" s="21">
        <v>175</v>
      </c>
      <c r="G255" s="21">
        <v>7</v>
      </c>
      <c r="H255" s="21"/>
      <c r="I255" s="8">
        <f t="shared" si="4"/>
        <v>1225</v>
      </c>
      <c r="J255" s="21">
        <v>2.2000000000000002</v>
      </c>
      <c r="K255" s="21"/>
      <c r="L255" s="21"/>
      <c r="M255" s="21"/>
      <c r="N255" s="21"/>
    </row>
    <row r="256" spans="1:14" x14ac:dyDescent="0.2">
      <c r="A256" s="23">
        <v>46010</v>
      </c>
      <c r="B256" s="18" t="s">
        <v>14</v>
      </c>
      <c r="C256" s="21" t="s">
        <v>15</v>
      </c>
      <c r="D256" s="18">
        <v>3018</v>
      </c>
      <c r="E256" s="21" t="s">
        <v>275</v>
      </c>
      <c r="F256" s="21">
        <v>500</v>
      </c>
      <c r="G256" s="21">
        <v>4</v>
      </c>
      <c r="H256" s="21"/>
      <c r="I256" s="8">
        <f t="shared" si="4"/>
        <v>2000</v>
      </c>
      <c r="J256" s="21">
        <v>3.3</v>
      </c>
      <c r="K256" s="21"/>
      <c r="L256" s="21"/>
      <c r="M256" s="21"/>
      <c r="N256" s="21"/>
    </row>
    <row r="257" spans="1:14" x14ac:dyDescent="0.2">
      <c r="A257" s="23">
        <v>46010</v>
      </c>
      <c r="B257" s="18" t="s">
        <v>14</v>
      </c>
      <c r="C257" s="21" t="s">
        <v>15</v>
      </c>
      <c r="D257" s="18">
        <v>3019</v>
      </c>
      <c r="E257" s="21" t="s">
        <v>276</v>
      </c>
      <c r="F257" s="21">
        <v>500</v>
      </c>
      <c r="G257" s="21">
        <v>29</v>
      </c>
      <c r="H257" s="21">
        <v>490</v>
      </c>
      <c r="I257" s="8">
        <f t="shared" si="4"/>
        <v>14990</v>
      </c>
      <c r="J257" s="21">
        <v>6.9</v>
      </c>
      <c r="K257" s="21">
        <v>3.4</v>
      </c>
      <c r="L257" s="21"/>
      <c r="M257" s="21">
        <v>2.6</v>
      </c>
      <c r="N257" s="21" t="s">
        <v>277</v>
      </c>
    </row>
    <row r="258" spans="1:14" x14ac:dyDescent="0.2">
      <c r="A258" s="23">
        <v>46010</v>
      </c>
      <c r="B258" s="18" t="s">
        <v>14</v>
      </c>
      <c r="C258" s="21" t="s">
        <v>15</v>
      </c>
      <c r="D258" s="18">
        <v>2974</v>
      </c>
      <c r="E258" s="21" t="s">
        <v>278</v>
      </c>
      <c r="F258" s="21">
        <v>500</v>
      </c>
      <c r="G258" s="21">
        <v>15</v>
      </c>
      <c r="H258" s="21">
        <v>300</v>
      </c>
      <c r="I258" s="8">
        <f t="shared" si="4"/>
        <v>7800</v>
      </c>
      <c r="J258" s="21">
        <v>9.3000000000000007</v>
      </c>
      <c r="K258" s="21"/>
      <c r="L258" s="21"/>
      <c r="M258" s="21"/>
      <c r="N258" s="21"/>
    </row>
    <row r="259" spans="1:14" x14ac:dyDescent="0.2">
      <c r="A259" s="23">
        <v>46010</v>
      </c>
      <c r="B259" s="18" t="s">
        <v>14</v>
      </c>
      <c r="C259" s="21" t="s">
        <v>15</v>
      </c>
      <c r="D259" s="18">
        <v>2872</v>
      </c>
      <c r="E259" s="21" t="s">
        <v>279</v>
      </c>
      <c r="F259" s="21">
        <v>500</v>
      </c>
      <c r="G259" s="21">
        <v>14</v>
      </c>
      <c r="H259" s="21"/>
      <c r="I259" s="8">
        <f t="shared" si="4"/>
        <v>7000</v>
      </c>
      <c r="J259" s="21">
        <v>8</v>
      </c>
      <c r="K259" s="21">
        <v>5.0999999999999996</v>
      </c>
      <c r="L259" s="21"/>
      <c r="M259" s="21">
        <v>1.3</v>
      </c>
      <c r="N259" s="21"/>
    </row>
    <row r="260" spans="1:14" x14ac:dyDescent="0.2">
      <c r="A260" s="23">
        <v>46010</v>
      </c>
      <c r="B260" s="18" t="s">
        <v>14</v>
      </c>
      <c r="C260" s="21" t="s">
        <v>20</v>
      </c>
      <c r="D260" s="18">
        <v>3241</v>
      </c>
      <c r="E260" s="21" t="s">
        <v>265</v>
      </c>
      <c r="F260" s="21">
        <v>600</v>
      </c>
      <c r="G260" s="21">
        <v>15</v>
      </c>
      <c r="H260" s="21">
        <v>450</v>
      </c>
      <c r="I260" s="8">
        <f t="shared" si="4"/>
        <v>9450</v>
      </c>
      <c r="J260" s="21">
        <v>0.3</v>
      </c>
      <c r="K260" s="21"/>
      <c r="L260" s="21"/>
      <c r="M260" s="21"/>
      <c r="N260" s="21"/>
    </row>
    <row r="261" spans="1:14" x14ac:dyDescent="0.2">
      <c r="A261" s="23">
        <v>46010</v>
      </c>
      <c r="B261" s="18" t="s">
        <v>14</v>
      </c>
      <c r="C261" s="21" t="s">
        <v>20</v>
      </c>
      <c r="D261" s="18">
        <v>3203</v>
      </c>
      <c r="E261" s="21" t="s">
        <v>280</v>
      </c>
      <c r="F261" s="21">
        <v>1000</v>
      </c>
      <c r="G261" s="21">
        <v>14</v>
      </c>
      <c r="H261" s="21">
        <v>150</v>
      </c>
      <c r="I261" s="8">
        <f t="shared" si="4"/>
        <v>14150</v>
      </c>
      <c r="J261" s="21">
        <v>1.4</v>
      </c>
      <c r="K261" s="21"/>
      <c r="L261" s="21"/>
      <c r="M261" s="21"/>
      <c r="N261" s="21"/>
    </row>
    <row r="262" spans="1:14" x14ac:dyDescent="0.2">
      <c r="A262" s="23">
        <v>46010</v>
      </c>
      <c r="B262" s="18" t="s">
        <v>14</v>
      </c>
      <c r="C262" s="21" t="s">
        <v>20</v>
      </c>
      <c r="D262" s="18">
        <v>2871</v>
      </c>
      <c r="E262" s="21" t="s">
        <v>281</v>
      </c>
      <c r="F262" s="21">
        <v>500</v>
      </c>
      <c r="G262" s="21">
        <v>17</v>
      </c>
      <c r="H262" s="21">
        <v>370</v>
      </c>
      <c r="I262" s="8">
        <f t="shared" si="4"/>
        <v>8870</v>
      </c>
      <c r="J262" s="21">
        <v>1.8</v>
      </c>
      <c r="K262" s="21">
        <v>3.7</v>
      </c>
      <c r="L262" s="21"/>
      <c r="M262" s="21"/>
      <c r="N262" s="21"/>
    </row>
    <row r="263" spans="1:14" x14ac:dyDescent="0.2">
      <c r="A263" s="23">
        <v>46010</v>
      </c>
      <c r="B263" s="18" t="s">
        <v>14</v>
      </c>
      <c r="C263" s="21" t="s">
        <v>20</v>
      </c>
      <c r="D263" s="18">
        <v>3326</v>
      </c>
      <c r="E263" s="21" t="s">
        <v>282</v>
      </c>
      <c r="F263" s="21">
        <v>4000</v>
      </c>
      <c r="G263" s="21">
        <v>30</v>
      </c>
      <c r="H263" s="21"/>
      <c r="I263" s="8">
        <f t="shared" si="4"/>
        <v>120000</v>
      </c>
      <c r="J263" s="21">
        <v>1.7</v>
      </c>
      <c r="K263" s="21"/>
      <c r="L263" s="21"/>
      <c r="M263" s="21"/>
      <c r="N263" s="21"/>
    </row>
    <row r="264" spans="1:14" x14ac:dyDescent="0.2">
      <c r="A264" s="23">
        <v>46010</v>
      </c>
      <c r="B264" s="18" t="s">
        <v>14</v>
      </c>
      <c r="C264" s="21" t="s">
        <v>24</v>
      </c>
      <c r="D264" s="18">
        <v>2858</v>
      </c>
      <c r="E264" s="21" t="s">
        <v>222</v>
      </c>
      <c r="F264" s="21">
        <v>500</v>
      </c>
      <c r="G264" s="21">
        <v>32</v>
      </c>
      <c r="H264" s="21">
        <v>200</v>
      </c>
      <c r="I264" s="8">
        <f t="shared" si="4"/>
        <v>16200</v>
      </c>
      <c r="J264" s="21">
        <v>3.2</v>
      </c>
      <c r="K264" s="21">
        <v>7</v>
      </c>
      <c r="L264" s="21"/>
      <c r="M264" s="21">
        <v>7.6</v>
      </c>
      <c r="N264" s="21"/>
    </row>
    <row r="265" spans="1:14" x14ac:dyDescent="0.2">
      <c r="A265" s="23">
        <v>46010</v>
      </c>
      <c r="B265" s="18" t="s">
        <v>14</v>
      </c>
      <c r="C265" s="21" t="s">
        <v>24</v>
      </c>
      <c r="D265" s="18">
        <v>2859</v>
      </c>
      <c r="E265" s="21" t="s">
        <v>283</v>
      </c>
      <c r="F265" s="21">
        <v>500</v>
      </c>
      <c r="G265" s="21">
        <v>57</v>
      </c>
      <c r="H265" s="21"/>
      <c r="I265" s="8">
        <f t="shared" si="4"/>
        <v>28500</v>
      </c>
      <c r="J265" s="21">
        <v>9.6</v>
      </c>
      <c r="K265" s="21">
        <v>10.8</v>
      </c>
      <c r="L265" s="21"/>
      <c r="M265" s="21">
        <v>14</v>
      </c>
      <c r="N265" s="21"/>
    </row>
    <row r="266" spans="1:14" x14ac:dyDescent="0.2">
      <c r="A266" s="23">
        <v>46010</v>
      </c>
      <c r="B266" s="18" t="s">
        <v>14</v>
      </c>
      <c r="C266" s="21" t="s">
        <v>27</v>
      </c>
      <c r="D266" s="18">
        <v>3130</v>
      </c>
      <c r="E266" s="21" t="s">
        <v>251</v>
      </c>
      <c r="F266" s="21">
        <v>1500</v>
      </c>
      <c r="G266" s="21">
        <v>7</v>
      </c>
      <c r="H266" s="21"/>
      <c r="I266" s="8">
        <f t="shared" si="4"/>
        <v>10500</v>
      </c>
      <c r="J266" s="21">
        <v>1.5</v>
      </c>
      <c r="K266" s="21"/>
      <c r="L266" s="21"/>
      <c r="M266" s="21"/>
      <c r="N266" s="21"/>
    </row>
    <row r="267" spans="1:14" x14ac:dyDescent="0.2">
      <c r="A267" s="23">
        <v>46010</v>
      </c>
      <c r="B267" s="18" t="s">
        <v>14</v>
      </c>
      <c r="C267" s="21" t="s">
        <v>27</v>
      </c>
      <c r="D267" s="18">
        <v>3095</v>
      </c>
      <c r="E267" s="21" t="s">
        <v>284</v>
      </c>
      <c r="F267" s="21">
        <v>550</v>
      </c>
      <c r="G267" s="21">
        <v>9</v>
      </c>
      <c r="H267" s="21">
        <v>500</v>
      </c>
      <c r="I267" s="8">
        <f t="shared" si="4"/>
        <v>5450</v>
      </c>
      <c r="J267" s="21">
        <v>3.5</v>
      </c>
      <c r="K267" s="21"/>
      <c r="L267" s="21"/>
      <c r="M267" s="21"/>
      <c r="N267" s="21" t="s">
        <v>285</v>
      </c>
    </row>
    <row r="268" spans="1:14" x14ac:dyDescent="0.2">
      <c r="A268" s="23">
        <v>46010</v>
      </c>
      <c r="B268" s="18" t="s">
        <v>14</v>
      </c>
      <c r="C268" s="21" t="s">
        <v>27</v>
      </c>
      <c r="D268" s="18">
        <v>3014</v>
      </c>
      <c r="E268" s="21" t="s">
        <v>218</v>
      </c>
      <c r="F268" s="21">
        <v>2000</v>
      </c>
      <c r="G268" s="21">
        <v>12</v>
      </c>
      <c r="H268" s="21"/>
      <c r="I268" s="8">
        <f t="shared" si="4"/>
        <v>24000</v>
      </c>
      <c r="J268" s="21">
        <v>1.5</v>
      </c>
      <c r="K268" s="21"/>
      <c r="L268" s="21"/>
      <c r="M268" s="21">
        <v>2</v>
      </c>
      <c r="N268" s="21"/>
    </row>
    <row r="269" spans="1:14" x14ac:dyDescent="0.2">
      <c r="A269" s="23">
        <v>46010</v>
      </c>
      <c r="B269" s="18" t="s">
        <v>14</v>
      </c>
      <c r="C269" s="21" t="s">
        <v>89</v>
      </c>
      <c r="D269" s="18">
        <v>3037</v>
      </c>
      <c r="E269" s="21" t="s">
        <v>273</v>
      </c>
      <c r="F269" s="21">
        <v>500</v>
      </c>
      <c r="G269" s="21">
        <v>9</v>
      </c>
      <c r="H269" s="21"/>
      <c r="I269" s="8">
        <f t="shared" si="4"/>
        <v>4500</v>
      </c>
      <c r="J269" s="21">
        <v>4.5</v>
      </c>
      <c r="K269" s="21">
        <v>1.5</v>
      </c>
      <c r="L269" s="21"/>
      <c r="M269" s="21">
        <v>13.6</v>
      </c>
      <c r="N269" s="21"/>
    </row>
    <row r="270" spans="1:14" x14ac:dyDescent="0.2">
      <c r="A270" s="23">
        <v>46010</v>
      </c>
      <c r="B270" s="18" t="s">
        <v>14</v>
      </c>
      <c r="C270" s="21" t="s">
        <v>89</v>
      </c>
      <c r="D270" s="18">
        <v>3051</v>
      </c>
      <c r="E270" s="21" t="s">
        <v>286</v>
      </c>
      <c r="F270" s="21">
        <v>500</v>
      </c>
      <c r="G270" s="21">
        <v>20</v>
      </c>
      <c r="H270" s="21">
        <v>450</v>
      </c>
      <c r="I270" s="8">
        <f t="shared" si="4"/>
        <v>10450</v>
      </c>
      <c r="J270" s="21">
        <v>5</v>
      </c>
      <c r="K270" s="21">
        <v>5</v>
      </c>
      <c r="L270" s="21"/>
      <c r="M270" s="21">
        <v>35.700000000000003</v>
      </c>
      <c r="N270" s="21"/>
    </row>
    <row r="271" spans="1:14" x14ac:dyDescent="0.2">
      <c r="A271" s="23">
        <v>46010</v>
      </c>
      <c r="B271" s="18" t="s">
        <v>14</v>
      </c>
      <c r="C271" s="21" t="s">
        <v>89</v>
      </c>
      <c r="D271" s="18">
        <v>3039</v>
      </c>
      <c r="E271" s="21" t="s">
        <v>189</v>
      </c>
      <c r="F271" s="21">
        <v>500</v>
      </c>
      <c r="G271" s="21">
        <v>104</v>
      </c>
      <c r="H271" s="21"/>
      <c r="I271" s="8">
        <f t="shared" si="4"/>
        <v>52000</v>
      </c>
      <c r="J271" s="21">
        <v>10.5</v>
      </c>
      <c r="K271" s="21">
        <v>9.8000000000000007</v>
      </c>
      <c r="L271" s="21"/>
      <c r="M271" s="21">
        <v>113.3</v>
      </c>
      <c r="N271" s="21"/>
    </row>
    <row r="272" spans="1:14" x14ac:dyDescent="0.2">
      <c r="A272" s="23">
        <v>46010</v>
      </c>
      <c r="B272" s="18" t="s">
        <v>14</v>
      </c>
      <c r="C272" s="21" t="s">
        <v>37</v>
      </c>
      <c r="D272" s="18">
        <v>2973</v>
      </c>
      <c r="E272" s="21" t="s">
        <v>274</v>
      </c>
      <c r="F272" s="21">
        <v>125</v>
      </c>
      <c r="G272" s="21">
        <v>2</v>
      </c>
      <c r="H272" s="21"/>
      <c r="I272" s="8">
        <f t="shared" si="4"/>
        <v>250</v>
      </c>
      <c r="J272" s="21"/>
      <c r="K272" s="21"/>
      <c r="L272" s="21"/>
      <c r="M272" s="21"/>
      <c r="N272" s="21"/>
    </row>
    <row r="273" spans="1:14" x14ac:dyDescent="0.2">
      <c r="A273" s="23">
        <v>46011</v>
      </c>
      <c r="B273" s="18" t="s">
        <v>40</v>
      </c>
      <c r="C273" s="21" t="s">
        <v>24</v>
      </c>
      <c r="D273" s="18">
        <v>2859</v>
      </c>
      <c r="E273" s="21" t="s">
        <v>287</v>
      </c>
      <c r="F273" s="21">
        <v>500</v>
      </c>
      <c r="G273" s="21">
        <v>100</v>
      </c>
      <c r="H273" s="21"/>
      <c r="I273" s="8">
        <f t="shared" si="4"/>
        <v>50000</v>
      </c>
      <c r="J273" s="21">
        <v>4.3</v>
      </c>
      <c r="K273" s="21">
        <v>17.600000000000001</v>
      </c>
      <c r="L273" s="21"/>
      <c r="M273" s="21">
        <v>22.7</v>
      </c>
      <c r="N273" s="21"/>
    </row>
    <row r="274" spans="1:14" x14ac:dyDescent="0.2">
      <c r="A274" s="23">
        <v>46011</v>
      </c>
      <c r="B274" s="18" t="s">
        <v>40</v>
      </c>
      <c r="C274" s="21" t="s">
        <v>27</v>
      </c>
      <c r="D274" s="18">
        <v>3131</v>
      </c>
      <c r="E274" s="21" t="s">
        <v>288</v>
      </c>
      <c r="F274" s="21">
        <v>1000</v>
      </c>
      <c r="G274" s="21">
        <v>3</v>
      </c>
      <c r="H274" s="21"/>
      <c r="I274" s="8">
        <f t="shared" si="4"/>
        <v>3000</v>
      </c>
      <c r="J274" s="21">
        <v>0.5</v>
      </c>
      <c r="K274" s="21"/>
      <c r="L274" s="21"/>
      <c r="M274" s="21"/>
      <c r="N274" s="21" t="s">
        <v>289</v>
      </c>
    </row>
    <row r="275" spans="1:14" x14ac:dyDescent="0.2">
      <c r="A275" s="23">
        <v>46011</v>
      </c>
      <c r="B275" s="18" t="s">
        <v>40</v>
      </c>
      <c r="C275" s="21" t="s">
        <v>27</v>
      </c>
      <c r="D275" s="18">
        <v>3014</v>
      </c>
      <c r="E275" s="21" t="s">
        <v>290</v>
      </c>
      <c r="F275" s="21">
        <v>2000</v>
      </c>
      <c r="G275" s="21">
        <v>6</v>
      </c>
      <c r="H275" s="21">
        <v>1500</v>
      </c>
      <c r="I275" s="8">
        <f t="shared" si="4"/>
        <v>13500</v>
      </c>
      <c r="J275" s="21">
        <v>1.5</v>
      </c>
      <c r="K275" s="21"/>
      <c r="L275" s="21"/>
      <c r="M275" s="21"/>
      <c r="N275" s="21"/>
    </row>
    <row r="276" spans="1:14" x14ac:dyDescent="0.2">
      <c r="A276" s="23">
        <v>46011</v>
      </c>
      <c r="B276" s="18" t="s">
        <v>40</v>
      </c>
      <c r="C276" s="21" t="s">
        <v>27</v>
      </c>
      <c r="D276" s="18">
        <v>2906</v>
      </c>
      <c r="E276" s="21" t="s">
        <v>291</v>
      </c>
      <c r="F276" s="21">
        <v>500</v>
      </c>
      <c r="G276" s="21">
        <v>22</v>
      </c>
      <c r="H276" s="21">
        <v>50</v>
      </c>
      <c r="I276" s="8">
        <f t="shared" si="4"/>
        <v>11050</v>
      </c>
      <c r="J276" s="21">
        <v>1.7</v>
      </c>
      <c r="K276" s="21">
        <v>2.9</v>
      </c>
      <c r="L276" s="21"/>
      <c r="M276" s="21">
        <v>2.2000000000000002</v>
      </c>
      <c r="N276" s="21"/>
    </row>
    <row r="277" spans="1:14" x14ac:dyDescent="0.2">
      <c r="A277" s="23">
        <v>46011</v>
      </c>
      <c r="B277" s="18" t="s">
        <v>40</v>
      </c>
      <c r="C277" s="21" t="s">
        <v>27</v>
      </c>
      <c r="D277" s="18">
        <v>3210</v>
      </c>
      <c r="E277" s="21" t="s">
        <v>292</v>
      </c>
      <c r="F277" s="21">
        <v>6000</v>
      </c>
      <c r="G277" s="21">
        <v>13</v>
      </c>
      <c r="H277" s="21"/>
      <c r="I277" s="8">
        <f t="shared" si="4"/>
        <v>78000</v>
      </c>
      <c r="J277" s="21">
        <v>1.3</v>
      </c>
      <c r="K277" s="21"/>
      <c r="L277" s="21"/>
      <c r="M277" s="21"/>
      <c r="N277" s="21"/>
    </row>
    <row r="278" spans="1:14" x14ac:dyDescent="0.2">
      <c r="A278" s="23">
        <v>46011</v>
      </c>
      <c r="B278" s="18" t="s">
        <v>40</v>
      </c>
      <c r="C278" s="21" t="s">
        <v>15</v>
      </c>
      <c r="D278" s="18">
        <v>2872</v>
      </c>
      <c r="E278" s="21" t="s">
        <v>279</v>
      </c>
      <c r="F278" s="21">
        <v>500</v>
      </c>
      <c r="G278" s="21">
        <v>34</v>
      </c>
      <c r="H278" s="21">
        <v>480</v>
      </c>
      <c r="I278" s="8">
        <f t="shared" si="4"/>
        <v>17480</v>
      </c>
      <c r="J278" s="21">
        <v>5.5</v>
      </c>
      <c r="K278" s="21">
        <v>2.2999999999999998</v>
      </c>
      <c r="L278" s="21"/>
      <c r="M278" s="21">
        <v>3.1</v>
      </c>
      <c r="N278" s="21"/>
    </row>
    <row r="279" spans="1:14" x14ac:dyDescent="0.2">
      <c r="A279" s="23">
        <v>46011</v>
      </c>
      <c r="B279" s="18" t="s">
        <v>40</v>
      </c>
      <c r="C279" s="21" t="s">
        <v>15</v>
      </c>
      <c r="D279" s="18">
        <v>3320</v>
      </c>
      <c r="E279" s="21" t="s">
        <v>293</v>
      </c>
      <c r="F279" s="21">
        <v>800</v>
      </c>
      <c r="G279" s="21">
        <v>36</v>
      </c>
      <c r="H279" s="21">
        <v>600</v>
      </c>
      <c r="I279" s="8">
        <f t="shared" si="4"/>
        <v>29400</v>
      </c>
      <c r="J279" s="21">
        <v>1.3</v>
      </c>
      <c r="K279" s="21"/>
      <c r="L279" s="21"/>
      <c r="M279" s="21"/>
      <c r="N279" s="21"/>
    </row>
    <row r="280" spans="1:14" x14ac:dyDescent="0.2">
      <c r="A280" s="23">
        <v>46011</v>
      </c>
      <c r="B280" s="18" t="s">
        <v>40</v>
      </c>
      <c r="C280" s="21" t="s">
        <v>15</v>
      </c>
      <c r="D280" s="18">
        <v>3280</v>
      </c>
      <c r="E280" s="21" t="s">
        <v>294</v>
      </c>
      <c r="F280" s="21">
        <v>300</v>
      </c>
      <c r="G280" s="21">
        <v>28</v>
      </c>
      <c r="H280" s="21"/>
      <c r="I280" s="8">
        <f t="shared" si="4"/>
        <v>8400</v>
      </c>
      <c r="J280" s="21">
        <v>2.9</v>
      </c>
      <c r="K280" s="21"/>
      <c r="L280" s="21"/>
      <c r="M280" s="21"/>
      <c r="N280" s="21"/>
    </row>
    <row r="281" spans="1:14" x14ac:dyDescent="0.2">
      <c r="A281" s="23">
        <v>46011</v>
      </c>
      <c r="B281" s="18" t="s">
        <v>40</v>
      </c>
      <c r="C281" s="21" t="s">
        <v>20</v>
      </c>
      <c r="D281" s="18">
        <v>3326</v>
      </c>
      <c r="E281" s="21" t="s">
        <v>282</v>
      </c>
      <c r="F281" s="21">
        <v>4000</v>
      </c>
      <c r="G281" s="21">
        <v>45</v>
      </c>
      <c r="H281" s="21"/>
      <c r="I281" s="8">
        <f t="shared" si="4"/>
        <v>180000</v>
      </c>
      <c r="J281" s="21">
        <v>0.6</v>
      </c>
      <c r="K281" s="21"/>
      <c r="L281" s="21"/>
      <c r="M281" s="21"/>
      <c r="N281" s="21"/>
    </row>
    <row r="282" spans="1:14" x14ac:dyDescent="0.2">
      <c r="A282" s="23">
        <v>46011</v>
      </c>
      <c r="B282" s="18" t="s">
        <v>40</v>
      </c>
      <c r="C282" s="21" t="s">
        <v>37</v>
      </c>
      <c r="D282" s="18">
        <v>2973</v>
      </c>
      <c r="E282" s="21" t="s">
        <v>97</v>
      </c>
      <c r="F282" s="21">
        <v>125</v>
      </c>
      <c r="G282" s="21">
        <v>3</v>
      </c>
      <c r="H282" s="21">
        <v>50</v>
      </c>
      <c r="I282" s="8">
        <f t="shared" si="4"/>
        <v>425</v>
      </c>
      <c r="J282" s="21"/>
      <c r="K282" s="21"/>
      <c r="L282" s="21"/>
      <c r="M282" s="21"/>
      <c r="N282" s="21"/>
    </row>
    <row r="283" spans="1:14" x14ac:dyDescent="0.2">
      <c r="A283" s="23">
        <v>46011</v>
      </c>
      <c r="B283" s="18" t="s">
        <v>40</v>
      </c>
      <c r="C283" s="21" t="s">
        <v>89</v>
      </c>
      <c r="D283" s="18">
        <v>3039</v>
      </c>
      <c r="E283" s="21" t="s">
        <v>295</v>
      </c>
      <c r="F283" s="21">
        <v>500</v>
      </c>
      <c r="G283" s="21">
        <v>38</v>
      </c>
      <c r="H283" s="21">
        <v>130</v>
      </c>
      <c r="I283" s="8">
        <f t="shared" si="4"/>
        <v>19130</v>
      </c>
      <c r="J283" s="21">
        <v>2.1</v>
      </c>
      <c r="K283" s="21">
        <v>4.5999999999999996</v>
      </c>
      <c r="L283" s="21">
        <v>41.3</v>
      </c>
      <c r="M283" s="21"/>
      <c r="N283" s="21"/>
    </row>
    <row r="284" spans="1:14" x14ac:dyDescent="0.2">
      <c r="A284" s="23">
        <v>46011</v>
      </c>
      <c r="B284" s="18" t="s">
        <v>40</v>
      </c>
      <c r="C284" s="21" t="s">
        <v>89</v>
      </c>
      <c r="D284" s="18">
        <v>3038</v>
      </c>
      <c r="E284" s="21" t="s">
        <v>296</v>
      </c>
      <c r="F284" s="21">
        <v>500</v>
      </c>
      <c r="G284" s="21">
        <v>95</v>
      </c>
      <c r="H284" s="21">
        <v>400</v>
      </c>
      <c r="I284" s="8">
        <f t="shared" si="4"/>
        <v>47900</v>
      </c>
      <c r="J284" s="21">
        <v>2.8</v>
      </c>
      <c r="K284" s="21">
        <v>13.7</v>
      </c>
      <c r="L284" s="21">
        <v>145.9</v>
      </c>
      <c r="M284" s="21"/>
      <c r="N284" s="21"/>
    </row>
    <row r="285" spans="1:14" x14ac:dyDescent="0.2">
      <c r="A285" s="23">
        <v>46011</v>
      </c>
      <c r="B285" s="18" t="s">
        <v>40</v>
      </c>
      <c r="C285" s="21" t="s">
        <v>20</v>
      </c>
      <c r="D285" s="18">
        <v>3374</v>
      </c>
      <c r="E285" s="21" t="s">
        <v>297</v>
      </c>
      <c r="F285" s="21">
        <v>1500</v>
      </c>
      <c r="G285" s="21">
        <v>21</v>
      </c>
      <c r="H285" s="21"/>
      <c r="I285" s="8">
        <f t="shared" si="4"/>
        <v>31500</v>
      </c>
      <c r="J285" s="21">
        <v>3.1</v>
      </c>
      <c r="K285" s="21"/>
      <c r="L285" s="21"/>
      <c r="M285" s="21"/>
      <c r="N285" s="21"/>
    </row>
    <row r="286" spans="1:14" x14ac:dyDescent="0.2">
      <c r="A286" s="23">
        <v>46012</v>
      </c>
      <c r="B286" s="18" t="s">
        <v>54</v>
      </c>
      <c r="C286" s="21" t="s">
        <v>24</v>
      </c>
      <c r="D286" s="18">
        <v>2859</v>
      </c>
      <c r="E286" s="21" t="s">
        <v>287</v>
      </c>
      <c r="F286" s="21">
        <v>500</v>
      </c>
      <c r="G286" s="21">
        <v>26</v>
      </c>
      <c r="H286" s="21">
        <v>350</v>
      </c>
      <c r="I286" s="8">
        <f t="shared" si="4"/>
        <v>13350</v>
      </c>
      <c r="J286" s="21">
        <v>3.1</v>
      </c>
      <c r="K286" s="21">
        <v>4</v>
      </c>
      <c r="L286" s="21"/>
      <c r="M286" s="21">
        <v>6.3</v>
      </c>
      <c r="N286" s="21"/>
    </row>
    <row r="287" spans="1:14" x14ac:dyDescent="0.2">
      <c r="A287" s="23">
        <v>46012</v>
      </c>
      <c r="B287" s="18" t="s">
        <v>54</v>
      </c>
      <c r="C287" s="21" t="s">
        <v>27</v>
      </c>
      <c r="D287" s="18">
        <v>2859</v>
      </c>
      <c r="E287" s="21" t="s">
        <v>287</v>
      </c>
      <c r="F287" s="21">
        <v>500</v>
      </c>
      <c r="G287" s="21">
        <v>19</v>
      </c>
      <c r="H287" s="21">
        <v>450</v>
      </c>
      <c r="I287" s="8">
        <f t="shared" si="4"/>
        <v>9950</v>
      </c>
      <c r="J287" s="21"/>
      <c r="K287" s="21">
        <v>5.3</v>
      </c>
      <c r="L287" s="21"/>
      <c r="M287" s="21">
        <v>4.3</v>
      </c>
      <c r="N287" s="21"/>
    </row>
    <row r="288" spans="1:14" x14ac:dyDescent="0.2">
      <c r="A288" s="23">
        <v>46012</v>
      </c>
      <c r="B288" s="18" t="s">
        <v>54</v>
      </c>
      <c r="C288" s="21" t="s">
        <v>15</v>
      </c>
      <c r="D288" s="18">
        <v>3280</v>
      </c>
      <c r="E288" s="21" t="s">
        <v>294</v>
      </c>
      <c r="F288" s="21">
        <v>300</v>
      </c>
      <c r="G288" s="21">
        <v>55</v>
      </c>
      <c r="H288" s="21">
        <v>200</v>
      </c>
      <c r="I288" s="8">
        <f t="shared" si="4"/>
        <v>16700</v>
      </c>
      <c r="J288" s="21">
        <v>4.5</v>
      </c>
      <c r="K288" s="21"/>
      <c r="L288" s="21"/>
      <c r="M288" s="21"/>
      <c r="N288" s="21"/>
    </row>
    <row r="289" spans="1:14" x14ac:dyDescent="0.2">
      <c r="A289" s="23">
        <v>46012</v>
      </c>
      <c r="B289" s="18" t="s">
        <v>54</v>
      </c>
      <c r="C289" s="21" t="s">
        <v>20</v>
      </c>
      <c r="D289" s="18">
        <v>3374</v>
      </c>
      <c r="E289" s="21" t="s">
        <v>297</v>
      </c>
      <c r="F289" s="21">
        <v>1500</v>
      </c>
      <c r="G289" s="21">
        <v>62</v>
      </c>
      <c r="H289" s="21">
        <v>1150</v>
      </c>
      <c r="I289" s="8">
        <f t="shared" si="4"/>
        <v>94150</v>
      </c>
      <c r="J289" s="21">
        <v>4.0999999999999996</v>
      </c>
      <c r="K289" s="21"/>
      <c r="L289" s="21">
        <v>2.1</v>
      </c>
      <c r="M289" s="21"/>
      <c r="N289" s="21"/>
    </row>
    <row r="290" spans="1:14" x14ac:dyDescent="0.2">
      <c r="A290" s="23">
        <v>46012</v>
      </c>
      <c r="B290" s="18" t="s">
        <v>54</v>
      </c>
      <c r="C290" s="21" t="s">
        <v>33</v>
      </c>
      <c r="D290" s="18">
        <v>3233</v>
      </c>
      <c r="E290" s="21" t="s">
        <v>298</v>
      </c>
      <c r="F290" s="21">
        <v>500</v>
      </c>
      <c r="G290" s="21">
        <v>20</v>
      </c>
      <c r="H290" s="21">
        <v>250</v>
      </c>
      <c r="I290" s="8">
        <f t="shared" si="4"/>
        <v>10250</v>
      </c>
      <c r="J290" s="21">
        <v>1.3</v>
      </c>
      <c r="K290" s="21"/>
      <c r="L290" s="21">
        <v>1.7</v>
      </c>
      <c r="M290" s="21">
        <v>23</v>
      </c>
      <c r="N290" s="21"/>
    </row>
    <row r="291" spans="1:14" x14ac:dyDescent="0.2">
      <c r="A291" s="23">
        <v>46012</v>
      </c>
      <c r="B291" s="18" t="s">
        <v>54</v>
      </c>
      <c r="C291" s="21" t="s">
        <v>33</v>
      </c>
      <c r="D291" s="18">
        <v>3234</v>
      </c>
      <c r="E291" s="21" t="s">
        <v>299</v>
      </c>
      <c r="F291" s="21">
        <v>500</v>
      </c>
      <c r="G291" s="21">
        <v>12</v>
      </c>
      <c r="H291" s="21">
        <v>400</v>
      </c>
      <c r="I291" s="8">
        <f t="shared" si="4"/>
        <v>6400</v>
      </c>
      <c r="J291" s="21">
        <v>0.9</v>
      </c>
      <c r="K291" s="21"/>
      <c r="L291" s="21"/>
      <c r="M291" s="21">
        <v>12.6</v>
      </c>
      <c r="N291" s="21"/>
    </row>
    <row r="292" spans="1:14" x14ac:dyDescent="0.2">
      <c r="A292" s="23">
        <v>46012</v>
      </c>
      <c r="B292" s="18" t="s">
        <v>54</v>
      </c>
      <c r="C292" s="21" t="s">
        <v>33</v>
      </c>
      <c r="D292" s="18">
        <v>2928</v>
      </c>
      <c r="E292" s="21" t="s">
        <v>300</v>
      </c>
      <c r="F292" s="21">
        <v>1000</v>
      </c>
      <c r="G292" s="21">
        <v>11</v>
      </c>
      <c r="H292" s="21"/>
      <c r="I292" s="8">
        <f t="shared" si="4"/>
        <v>11000</v>
      </c>
      <c r="J292" s="21">
        <v>0.7</v>
      </c>
      <c r="K292" s="21">
        <v>3.1</v>
      </c>
      <c r="L292" s="21"/>
      <c r="M292" s="21">
        <v>12.2</v>
      </c>
      <c r="N292" s="21"/>
    </row>
    <row r="293" spans="1:14" x14ac:dyDescent="0.2">
      <c r="A293" s="23">
        <v>46012</v>
      </c>
      <c r="B293" s="18" t="s">
        <v>54</v>
      </c>
      <c r="C293" s="21" t="s">
        <v>33</v>
      </c>
      <c r="D293" s="18">
        <v>2929</v>
      </c>
      <c r="E293" s="21" t="s">
        <v>301</v>
      </c>
      <c r="F293" s="21">
        <v>600</v>
      </c>
      <c r="G293" s="21">
        <v>8</v>
      </c>
      <c r="H293" s="21">
        <v>400</v>
      </c>
      <c r="I293" s="8">
        <f t="shared" si="4"/>
        <v>5200</v>
      </c>
      <c r="J293" s="21">
        <v>0.6</v>
      </c>
      <c r="K293" s="21">
        <v>3.1</v>
      </c>
      <c r="L293" s="21"/>
      <c r="M293" s="21">
        <v>16</v>
      </c>
      <c r="N293" s="21"/>
    </row>
    <row r="294" spans="1:14" x14ac:dyDescent="0.2">
      <c r="A294" s="23">
        <v>46012</v>
      </c>
      <c r="B294" s="18" t="s">
        <v>54</v>
      </c>
      <c r="C294" s="21" t="s">
        <v>27</v>
      </c>
      <c r="D294" s="18">
        <v>3210</v>
      </c>
      <c r="E294" s="21" t="s">
        <v>292</v>
      </c>
      <c r="F294" s="21">
        <v>6000</v>
      </c>
      <c r="G294" s="21">
        <v>27</v>
      </c>
      <c r="H294" s="21"/>
      <c r="I294" s="8">
        <f t="shared" si="4"/>
        <v>162000</v>
      </c>
      <c r="J294" s="21">
        <v>3.3</v>
      </c>
      <c r="K294" s="21"/>
      <c r="L294" s="21"/>
      <c r="M294" s="21"/>
      <c r="N294" s="21"/>
    </row>
    <row r="295" spans="1:14" x14ac:dyDescent="0.2">
      <c r="A295" s="23">
        <v>46012</v>
      </c>
      <c r="B295" s="18" t="s">
        <v>54</v>
      </c>
      <c r="C295" s="21" t="s">
        <v>24</v>
      </c>
      <c r="D295" s="18">
        <v>3190</v>
      </c>
      <c r="E295" s="21" t="s">
        <v>302</v>
      </c>
      <c r="F295" s="21">
        <v>500</v>
      </c>
      <c r="G295" s="21">
        <v>20</v>
      </c>
      <c r="H295" s="21"/>
      <c r="I295" s="8">
        <f t="shared" si="4"/>
        <v>10000</v>
      </c>
      <c r="J295" s="21">
        <v>10.7</v>
      </c>
      <c r="K295" s="21">
        <v>5.3</v>
      </c>
      <c r="L295" s="21"/>
      <c r="M295" s="21"/>
      <c r="N295" s="21"/>
    </row>
    <row r="296" spans="1:14" x14ac:dyDescent="0.2">
      <c r="A296" s="23">
        <v>46012</v>
      </c>
      <c r="B296" s="18" t="s">
        <v>54</v>
      </c>
      <c r="C296" s="21" t="s">
        <v>33</v>
      </c>
      <c r="D296" s="18">
        <v>3043</v>
      </c>
      <c r="E296" s="21" t="s">
        <v>303</v>
      </c>
      <c r="F296" s="21">
        <v>2000</v>
      </c>
      <c r="G296" s="21">
        <v>32</v>
      </c>
      <c r="H296" s="21"/>
      <c r="I296" s="8">
        <f t="shared" si="4"/>
        <v>64000</v>
      </c>
      <c r="J296" s="21">
        <v>2</v>
      </c>
      <c r="K296" s="21">
        <v>3.1</v>
      </c>
      <c r="L296" s="21"/>
      <c r="M296" s="21">
        <v>40.299999999999997</v>
      </c>
      <c r="N296" s="21"/>
    </row>
    <row r="297" spans="1:14" x14ac:dyDescent="0.2">
      <c r="A297" s="23">
        <v>46012</v>
      </c>
      <c r="B297" s="18" t="s">
        <v>54</v>
      </c>
      <c r="C297" s="21" t="s">
        <v>15</v>
      </c>
      <c r="D297" s="18">
        <v>3191</v>
      </c>
      <c r="E297" s="21" t="s">
        <v>304</v>
      </c>
      <c r="F297" s="21">
        <v>300</v>
      </c>
      <c r="G297" s="21">
        <v>17</v>
      </c>
      <c r="H297" s="21">
        <v>250</v>
      </c>
      <c r="I297" s="8">
        <f t="shared" si="4"/>
        <v>5350</v>
      </c>
      <c r="J297" s="21">
        <v>1.7</v>
      </c>
      <c r="K297" s="21"/>
      <c r="L297" s="21"/>
      <c r="M297" s="21"/>
      <c r="N297" s="21"/>
    </row>
    <row r="298" spans="1:14" x14ac:dyDescent="0.2">
      <c r="A298" s="23">
        <v>46012</v>
      </c>
      <c r="B298" s="18" t="s">
        <v>54</v>
      </c>
      <c r="C298" s="21" t="s">
        <v>15</v>
      </c>
      <c r="D298" s="18">
        <v>3250</v>
      </c>
      <c r="E298" s="21" t="s">
        <v>305</v>
      </c>
      <c r="F298" s="21">
        <v>200</v>
      </c>
      <c r="G298" s="21">
        <v>16</v>
      </c>
      <c r="H298" s="21">
        <v>150</v>
      </c>
      <c r="I298" s="8">
        <f t="shared" si="4"/>
        <v>3350</v>
      </c>
      <c r="J298" s="21">
        <v>6.4</v>
      </c>
      <c r="K298" s="21"/>
      <c r="L298" s="21"/>
      <c r="M298" s="21"/>
      <c r="N298" s="21"/>
    </row>
    <row r="299" spans="1:14" x14ac:dyDescent="0.2">
      <c r="A299" s="23">
        <v>46012</v>
      </c>
      <c r="B299" s="18" t="s">
        <v>54</v>
      </c>
      <c r="C299" s="21" t="s">
        <v>20</v>
      </c>
      <c r="D299" s="18">
        <v>2968</v>
      </c>
      <c r="E299" s="21" t="s">
        <v>306</v>
      </c>
      <c r="F299" s="21">
        <v>1000</v>
      </c>
      <c r="G299" s="21">
        <v>4</v>
      </c>
      <c r="H299" s="21"/>
      <c r="I299" s="8">
        <f t="shared" si="4"/>
        <v>4000</v>
      </c>
      <c r="J299" s="21">
        <v>4</v>
      </c>
      <c r="K299" s="21"/>
      <c r="L299" s="21"/>
      <c r="M299" s="21"/>
      <c r="N299" s="21"/>
    </row>
    <row r="300" spans="1:14" x14ac:dyDescent="0.2">
      <c r="A300" s="23">
        <v>46012</v>
      </c>
      <c r="B300" s="18" t="s">
        <v>54</v>
      </c>
      <c r="C300" s="21" t="s">
        <v>24</v>
      </c>
      <c r="D300" s="18">
        <v>3198</v>
      </c>
      <c r="E300" s="21" t="s">
        <v>307</v>
      </c>
      <c r="F300" s="21">
        <v>500</v>
      </c>
      <c r="G300" s="21">
        <v>7</v>
      </c>
      <c r="H300" s="21">
        <v>190</v>
      </c>
      <c r="I300" s="8">
        <f t="shared" ref="I300:I303" si="5">F300*G300+H300</f>
        <v>3690</v>
      </c>
      <c r="J300" s="21">
        <v>6.6</v>
      </c>
      <c r="K300" s="21">
        <v>4.2</v>
      </c>
      <c r="L300" s="21"/>
      <c r="M300" s="21">
        <v>1.1000000000000001</v>
      </c>
      <c r="N300" s="21"/>
    </row>
    <row r="301" spans="1:14" x14ac:dyDescent="0.2">
      <c r="A301" s="23">
        <v>46012</v>
      </c>
      <c r="B301" s="18" t="s">
        <v>54</v>
      </c>
      <c r="C301" s="21" t="s">
        <v>15</v>
      </c>
      <c r="D301" s="18">
        <v>3270</v>
      </c>
      <c r="E301" s="21" t="s">
        <v>308</v>
      </c>
      <c r="F301" s="21">
        <v>300</v>
      </c>
      <c r="G301" s="21">
        <v>13</v>
      </c>
      <c r="H301" s="21"/>
      <c r="I301" s="8">
        <f t="shared" si="5"/>
        <v>3900</v>
      </c>
      <c r="J301" s="21">
        <v>1</v>
      </c>
      <c r="K301" s="21"/>
      <c r="L301" s="21"/>
      <c r="M301" s="21"/>
      <c r="N301" s="21"/>
    </row>
    <row r="302" spans="1:14" x14ac:dyDescent="0.2">
      <c r="A302" s="23">
        <v>46013</v>
      </c>
      <c r="B302" s="18" t="s">
        <v>14</v>
      </c>
      <c r="C302" s="21" t="s">
        <v>15</v>
      </c>
      <c r="D302" s="18">
        <v>3270</v>
      </c>
      <c r="E302" s="21" t="s">
        <v>308</v>
      </c>
      <c r="F302" s="21">
        <v>300</v>
      </c>
      <c r="G302" s="21">
        <v>20</v>
      </c>
      <c r="H302" s="21">
        <v>250</v>
      </c>
      <c r="I302" s="8">
        <f t="shared" si="5"/>
        <v>6250</v>
      </c>
      <c r="J302" s="21">
        <v>3.1</v>
      </c>
      <c r="K302" s="21"/>
      <c r="L302" s="21"/>
      <c r="M302" s="21"/>
      <c r="N302" s="21"/>
    </row>
    <row r="303" spans="1:14" x14ac:dyDescent="0.2">
      <c r="A303" s="23">
        <v>46013</v>
      </c>
      <c r="B303" s="18" t="s">
        <v>14</v>
      </c>
      <c r="C303" s="21" t="s">
        <v>15</v>
      </c>
      <c r="D303" s="18">
        <v>3124</v>
      </c>
      <c r="E303" s="21" t="s">
        <v>309</v>
      </c>
      <c r="F303" s="21">
        <v>3000</v>
      </c>
      <c r="G303" s="21">
        <v>13</v>
      </c>
      <c r="H303" s="21"/>
      <c r="I303" s="8">
        <f t="shared" si="5"/>
        <v>39000</v>
      </c>
      <c r="J303" s="21">
        <v>2.2999999999999998</v>
      </c>
      <c r="K303" s="21"/>
      <c r="L303" s="21"/>
      <c r="M303" s="21"/>
      <c r="N303" s="21" t="s">
        <v>310</v>
      </c>
    </row>
    <row r="304" spans="1:14" x14ac:dyDescent="0.2">
      <c r="A304" s="23">
        <v>46013</v>
      </c>
      <c r="B304" s="18" t="s">
        <v>14</v>
      </c>
      <c r="C304" s="21" t="s">
        <v>20</v>
      </c>
      <c r="D304" s="18">
        <v>2968</v>
      </c>
      <c r="E304" s="21" t="s">
        <v>306</v>
      </c>
      <c r="F304" s="21">
        <v>1000</v>
      </c>
      <c r="G304" s="21">
        <v>7</v>
      </c>
      <c r="H304" s="21">
        <v>750</v>
      </c>
      <c r="I304" s="24">
        <f t="shared" ref="I304:I335" si="6">F304*G304+H304</f>
        <v>7750</v>
      </c>
      <c r="J304" s="21">
        <v>2</v>
      </c>
      <c r="K304" s="21"/>
      <c r="L304" s="21"/>
      <c r="M304" s="21"/>
      <c r="N304" s="21"/>
    </row>
    <row r="305" spans="1:14" x14ac:dyDescent="0.2">
      <c r="A305" s="23">
        <v>46013</v>
      </c>
      <c r="B305" s="18" t="s">
        <v>14</v>
      </c>
      <c r="C305" s="21" t="s">
        <v>20</v>
      </c>
      <c r="D305" s="18">
        <v>3107</v>
      </c>
      <c r="E305" s="21" t="s">
        <v>311</v>
      </c>
      <c r="F305" s="21">
        <v>350</v>
      </c>
      <c r="G305" s="21">
        <v>58</v>
      </c>
      <c r="H305" s="21">
        <v>120</v>
      </c>
      <c r="I305" s="24">
        <f t="shared" si="6"/>
        <v>20420</v>
      </c>
      <c r="J305" s="21">
        <v>1.7</v>
      </c>
      <c r="K305" s="21">
        <v>3.2</v>
      </c>
      <c r="L305" s="21"/>
      <c r="M305" s="21"/>
      <c r="N305" s="21" t="s">
        <v>312</v>
      </c>
    </row>
    <row r="306" spans="1:14" x14ac:dyDescent="0.2">
      <c r="A306" s="23">
        <v>46013</v>
      </c>
      <c r="B306" s="18" t="s">
        <v>14</v>
      </c>
      <c r="C306" s="21" t="s">
        <v>20</v>
      </c>
      <c r="D306" s="18">
        <v>3152</v>
      </c>
      <c r="E306" s="21" t="s">
        <v>198</v>
      </c>
      <c r="F306" s="21">
        <v>1500</v>
      </c>
      <c r="G306" s="21">
        <v>25</v>
      </c>
      <c r="H306" s="21"/>
      <c r="I306" s="24">
        <f t="shared" si="6"/>
        <v>37500</v>
      </c>
      <c r="J306" s="21">
        <v>1.2</v>
      </c>
      <c r="K306" s="21"/>
      <c r="L306" s="21"/>
      <c r="M306" s="21"/>
      <c r="N306" s="21"/>
    </row>
    <row r="307" spans="1:14" x14ac:dyDescent="0.2">
      <c r="A307" s="23">
        <v>46013</v>
      </c>
      <c r="B307" s="18" t="s">
        <v>14</v>
      </c>
      <c r="C307" s="21" t="s">
        <v>24</v>
      </c>
      <c r="D307" s="18">
        <v>3190</v>
      </c>
      <c r="E307" s="21" t="s">
        <v>307</v>
      </c>
      <c r="F307" s="21">
        <v>500</v>
      </c>
      <c r="G307" s="21">
        <v>15</v>
      </c>
      <c r="H307" s="21">
        <v>300</v>
      </c>
      <c r="I307" s="24">
        <f t="shared" si="6"/>
        <v>7800</v>
      </c>
      <c r="J307" s="21">
        <v>1.7</v>
      </c>
      <c r="K307" s="21">
        <v>9.3000000000000007</v>
      </c>
      <c r="L307" s="21"/>
      <c r="M307" s="21"/>
      <c r="N307" s="21"/>
    </row>
    <row r="308" spans="1:14" x14ac:dyDescent="0.2">
      <c r="A308" s="23">
        <v>46013</v>
      </c>
      <c r="B308" s="18" t="s">
        <v>14</v>
      </c>
      <c r="C308" s="21" t="s">
        <v>24</v>
      </c>
      <c r="D308" s="18">
        <v>3197</v>
      </c>
      <c r="E308" s="21" t="s">
        <v>307</v>
      </c>
      <c r="F308" s="21">
        <v>500</v>
      </c>
      <c r="G308" s="21">
        <v>19</v>
      </c>
      <c r="H308" s="21"/>
      <c r="I308" s="24">
        <f t="shared" si="6"/>
        <v>9500</v>
      </c>
      <c r="J308" s="21">
        <v>3.3</v>
      </c>
      <c r="K308" s="21">
        <v>13.3</v>
      </c>
      <c r="L308" s="21">
        <v>5.2</v>
      </c>
      <c r="M308" s="21">
        <v>4.3</v>
      </c>
      <c r="N308" s="21"/>
    </row>
    <row r="309" spans="1:14" x14ac:dyDescent="0.2">
      <c r="A309" s="23">
        <v>46013</v>
      </c>
      <c r="B309" s="18" t="s">
        <v>14</v>
      </c>
      <c r="C309" s="21" t="s">
        <v>24</v>
      </c>
      <c r="D309" s="18">
        <v>3296</v>
      </c>
      <c r="E309" s="21" t="s">
        <v>313</v>
      </c>
      <c r="F309" s="21">
        <v>4000</v>
      </c>
      <c r="G309" s="21">
        <v>13</v>
      </c>
      <c r="H309" s="21"/>
      <c r="I309" s="24">
        <f t="shared" si="6"/>
        <v>52000</v>
      </c>
      <c r="J309" s="21">
        <v>2.5</v>
      </c>
      <c r="K309" s="21"/>
      <c r="L309" s="21"/>
      <c r="M309" s="21"/>
      <c r="N309" s="21"/>
    </row>
    <row r="310" spans="1:14" x14ac:dyDescent="0.2">
      <c r="A310" s="23">
        <v>46013</v>
      </c>
      <c r="B310" s="18" t="s">
        <v>14</v>
      </c>
      <c r="C310" s="21" t="s">
        <v>27</v>
      </c>
      <c r="D310" s="18">
        <v>3210</v>
      </c>
      <c r="E310" s="21" t="s">
        <v>292</v>
      </c>
      <c r="F310" s="21">
        <v>6000</v>
      </c>
      <c r="G310" s="21">
        <v>3</v>
      </c>
      <c r="H310" s="21">
        <v>1000</v>
      </c>
      <c r="I310" s="24">
        <f t="shared" si="6"/>
        <v>19000</v>
      </c>
      <c r="J310" s="21">
        <v>0</v>
      </c>
      <c r="K310" s="21"/>
      <c r="L310" s="21"/>
      <c r="M310" s="21"/>
      <c r="N310" s="21"/>
    </row>
    <row r="311" spans="1:14" x14ac:dyDescent="0.2">
      <c r="A311" s="23">
        <v>46013</v>
      </c>
      <c r="B311" s="18" t="s">
        <v>14</v>
      </c>
      <c r="C311" s="21" t="s">
        <v>27</v>
      </c>
      <c r="D311" s="18">
        <v>3131</v>
      </c>
      <c r="E311" s="21" t="s">
        <v>314</v>
      </c>
      <c r="F311" s="21">
        <v>1500</v>
      </c>
      <c r="G311" s="21">
        <v>18</v>
      </c>
      <c r="H311" s="21">
        <v>700</v>
      </c>
      <c r="I311" s="24">
        <f t="shared" si="6"/>
        <v>27700</v>
      </c>
      <c r="J311" s="21"/>
      <c r="K311" s="21">
        <v>4.3</v>
      </c>
      <c r="L311" s="21"/>
      <c r="M311" s="21"/>
      <c r="N311" s="21"/>
    </row>
    <row r="312" spans="1:14" x14ac:dyDescent="0.2">
      <c r="A312" s="23">
        <v>46013</v>
      </c>
      <c r="B312" s="18" t="s">
        <v>14</v>
      </c>
      <c r="C312" s="21" t="s">
        <v>27</v>
      </c>
      <c r="D312" s="18">
        <v>3296</v>
      </c>
      <c r="E312" s="21" t="s">
        <v>313</v>
      </c>
      <c r="F312" s="21">
        <v>4000</v>
      </c>
      <c r="G312" s="21">
        <v>19</v>
      </c>
      <c r="H312" s="21"/>
      <c r="I312" s="24">
        <f t="shared" si="6"/>
        <v>76000</v>
      </c>
      <c r="J312" s="21">
        <v>2.1</v>
      </c>
      <c r="K312" s="21"/>
      <c r="L312" s="21"/>
      <c r="M312" s="21"/>
      <c r="N312" s="21"/>
    </row>
    <row r="313" spans="1:14" x14ac:dyDescent="0.2">
      <c r="A313" s="23">
        <v>46013</v>
      </c>
      <c r="B313" s="18" t="s">
        <v>14</v>
      </c>
      <c r="C313" s="21" t="s">
        <v>33</v>
      </c>
      <c r="D313" s="18">
        <v>3043</v>
      </c>
      <c r="E313" s="21" t="s">
        <v>303</v>
      </c>
      <c r="F313" s="21">
        <v>2000</v>
      </c>
      <c r="G313" s="21">
        <v>41</v>
      </c>
      <c r="H313" s="21">
        <v>1650</v>
      </c>
      <c r="I313" s="24">
        <f t="shared" si="6"/>
        <v>83650</v>
      </c>
      <c r="J313" s="21">
        <v>1.5</v>
      </c>
      <c r="K313" s="21">
        <v>1</v>
      </c>
      <c r="L313" s="21"/>
      <c r="M313" s="21">
        <v>55</v>
      </c>
      <c r="N313" s="21"/>
    </row>
    <row r="314" spans="1:14" x14ac:dyDescent="0.2">
      <c r="A314" s="23">
        <v>46013</v>
      </c>
      <c r="B314" s="18" t="s">
        <v>14</v>
      </c>
      <c r="C314" s="21" t="s">
        <v>33</v>
      </c>
      <c r="D314" s="18">
        <v>2742</v>
      </c>
      <c r="E314" s="21" t="s">
        <v>315</v>
      </c>
      <c r="F314" s="21">
        <v>400</v>
      </c>
      <c r="G314" s="21">
        <v>13</v>
      </c>
      <c r="H314" s="21"/>
      <c r="I314" s="24">
        <f t="shared" si="6"/>
        <v>5200</v>
      </c>
      <c r="J314" s="21">
        <v>1.8</v>
      </c>
      <c r="K314" s="21"/>
      <c r="L314" s="21"/>
      <c r="M314" s="21">
        <v>10</v>
      </c>
      <c r="N314" s="21" t="s">
        <v>316</v>
      </c>
    </row>
    <row r="315" spans="1:14" x14ac:dyDescent="0.2">
      <c r="A315" s="23">
        <v>46013</v>
      </c>
      <c r="B315" s="18" t="s">
        <v>14</v>
      </c>
      <c r="C315" s="21" t="s">
        <v>37</v>
      </c>
      <c r="D315" s="18">
        <v>2973</v>
      </c>
      <c r="E315" s="21" t="s">
        <v>126</v>
      </c>
      <c r="F315" s="21">
        <v>100</v>
      </c>
      <c r="G315" s="21">
        <v>1</v>
      </c>
      <c r="H315" s="21"/>
      <c r="I315" s="24">
        <f t="shared" si="6"/>
        <v>100</v>
      </c>
      <c r="J315" s="21"/>
      <c r="K315" s="21"/>
      <c r="L315" s="21"/>
      <c r="M315" s="21"/>
      <c r="N315" s="21"/>
    </row>
    <row r="316" spans="1:14" x14ac:dyDescent="0.2">
      <c r="A316" s="23">
        <v>46014</v>
      </c>
      <c r="B316" s="18" t="s">
        <v>40</v>
      </c>
      <c r="C316" s="21" t="s">
        <v>15</v>
      </c>
      <c r="D316" s="18">
        <v>3124</v>
      </c>
      <c r="E316" s="21" t="s">
        <v>309</v>
      </c>
      <c r="F316" s="21">
        <v>3000</v>
      </c>
      <c r="G316" s="21">
        <v>5</v>
      </c>
      <c r="H316" s="21">
        <v>1200</v>
      </c>
      <c r="I316" s="24">
        <f t="shared" si="6"/>
        <v>16200</v>
      </c>
      <c r="J316" s="21">
        <v>0.5</v>
      </c>
      <c r="K316" s="21"/>
      <c r="L316" s="21"/>
      <c r="M316" s="21"/>
      <c r="N316" s="21"/>
    </row>
    <row r="317" spans="1:14" x14ac:dyDescent="0.2">
      <c r="A317" s="23">
        <v>46014</v>
      </c>
      <c r="B317" s="18" t="s">
        <v>40</v>
      </c>
      <c r="C317" s="21" t="s">
        <v>15</v>
      </c>
      <c r="D317" s="18">
        <v>3245</v>
      </c>
      <c r="E317" s="21" t="s">
        <v>317</v>
      </c>
      <c r="F317" s="21">
        <v>500</v>
      </c>
      <c r="G317" s="21">
        <v>13</v>
      </c>
      <c r="H317" s="21">
        <v>350</v>
      </c>
      <c r="I317" s="24">
        <f t="shared" si="6"/>
        <v>6850</v>
      </c>
      <c r="J317" s="21">
        <v>1.3</v>
      </c>
      <c r="K317" s="21"/>
      <c r="L317" s="21"/>
      <c r="M317" s="21"/>
      <c r="N317" s="21"/>
    </row>
    <row r="318" spans="1:14" x14ac:dyDescent="0.2">
      <c r="A318" s="23">
        <v>46014</v>
      </c>
      <c r="B318" s="18" t="s">
        <v>40</v>
      </c>
      <c r="C318" s="21" t="s">
        <v>15</v>
      </c>
      <c r="D318" s="18">
        <v>3126</v>
      </c>
      <c r="E318" s="21" t="s">
        <v>318</v>
      </c>
      <c r="F318" s="21">
        <v>1000</v>
      </c>
      <c r="G318" s="21">
        <v>45</v>
      </c>
      <c r="H318" s="21">
        <v>970</v>
      </c>
      <c r="I318" s="24">
        <f t="shared" si="6"/>
        <v>45970</v>
      </c>
      <c r="J318" s="21">
        <v>2.5</v>
      </c>
      <c r="K318" s="21"/>
      <c r="L318" s="21">
        <v>5.8</v>
      </c>
      <c r="M318" s="21"/>
      <c r="N318" s="21"/>
    </row>
    <row r="319" spans="1:14" x14ac:dyDescent="0.2">
      <c r="A319" s="23">
        <v>46014</v>
      </c>
      <c r="B319" s="18" t="s">
        <v>40</v>
      </c>
      <c r="C319" s="21" t="s">
        <v>20</v>
      </c>
      <c r="D319" s="18">
        <v>3152</v>
      </c>
      <c r="E319" s="21" t="s">
        <v>198</v>
      </c>
      <c r="F319" s="21">
        <v>1500</v>
      </c>
      <c r="G319" s="21">
        <v>13</v>
      </c>
      <c r="H319" s="21">
        <v>1470</v>
      </c>
      <c r="I319" s="24">
        <f t="shared" si="6"/>
        <v>20970</v>
      </c>
      <c r="J319" s="21">
        <v>0.8</v>
      </c>
      <c r="K319" s="21"/>
      <c r="L319" s="21"/>
      <c r="M319" s="21"/>
      <c r="N319" s="21"/>
    </row>
    <row r="320" spans="1:14" x14ac:dyDescent="0.2">
      <c r="A320" s="23">
        <v>46014</v>
      </c>
      <c r="B320" s="18" t="s">
        <v>40</v>
      </c>
      <c r="C320" s="21" t="s">
        <v>20</v>
      </c>
      <c r="D320" s="18">
        <v>3323</v>
      </c>
      <c r="E320" s="21" t="s">
        <v>319</v>
      </c>
      <c r="F320" s="21">
        <v>1500</v>
      </c>
      <c r="G320" s="21">
        <v>10</v>
      </c>
      <c r="H320" s="21">
        <v>1100</v>
      </c>
      <c r="I320" s="24">
        <f t="shared" si="6"/>
        <v>16100</v>
      </c>
      <c r="J320" s="21">
        <v>0.6</v>
      </c>
      <c r="K320" s="21"/>
      <c r="L320" s="21"/>
      <c r="M320" s="21"/>
      <c r="N320" s="21"/>
    </row>
    <row r="321" spans="1:14" x14ac:dyDescent="0.2">
      <c r="A321" s="23">
        <v>46014</v>
      </c>
      <c r="B321" s="18" t="s">
        <v>40</v>
      </c>
      <c r="C321" s="21" t="s">
        <v>20</v>
      </c>
      <c r="D321" s="18">
        <v>3239</v>
      </c>
      <c r="E321" s="21" t="s">
        <v>320</v>
      </c>
      <c r="F321" s="21">
        <v>4000</v>
      </c>
      <c r="G321" s="21">
        <v>20</v>
      </c>
      <c r="H321" s="21">
        <v>1300</v>
      </c>
      <c r="I321" s="24">
        <f t="shared" si="6"/>
        <v>81300</v>
      </c>
      <c r="J321" s="21">
        <v>1.9</v>
      </c>
      <c r="K321" s="21"/>
      <c r="L321" s="21"/>
      <c r="M321" s="21"/>
      <c r="N321" s="21"/>
    </row>
    <row r="322" spans="1:14" x14ac:dyDescent="0.2">
      <c r="A322" s="23">
        <v>46014</v>
      </c>
      <c r="B322" s="18" t="s">
        <v>40</v>
      </c>
      <c r="C322" s="21" t="s">
        <v>33</v>
      </c>
      <c r="D322" s="18">
        <v>2742</v>
      </c>
      <c r="E322" s="21" t="s">
        <v>321</v>
      </c>
      <c r="F322" s="21">
        <v>500</v>
      </c>
      <c r="G322" s="21">
        <v>17</v>
      </c>
      <c r="H322" s="21">
        <v>395</v>
      </c>
      <c r="I322" s="24">
        <f t="shared" si="6"/>
        <v>8895</v>
      </c>
      <c r="J322" s="21">
        <v>1.2</v>
      </c>
      <c r="K322" s="21">
        <v>1.8</v>
      </c>
      <c r="L322" s="21"/>
      <c r="M322" s="21">
        <v>16.899999999999999</v>
      </c>
      <c r="N322" s="21"/>
    </row>
    <row r="323" spans="1:14" x14ac:dyDescent="0.2">
      <c r="A323" s="23">
        <v>46014</v>
      </c>
      <c r="B323" s="18" t="s">
        <v>40</v>
      </c>
      <c r="C323" s="21" t="s">
        <v>33</v>
      </c>
      <c r="D323" s="18">
        <v>3085</v>
      </c>
      <c r="E323" s="21" t="s">
        <v>322</v>
      </c>
      <c r="F323" s="21">
        <v>500</v>
      </c>
      <c r="G323" s="21">
        <v>5</v>
      </c>
      <c r="H323" s="21"/>
      <c r="I323" s="24">
        <f t="shared" si="6"/>
        <v>2500</v>
      </c>
      <c r="J323" s="21">
        <v>1.5</v>
      </c>
      <c r="K323" s="21"/>
      <c r="L323" s="21"/>
      <c r="M323" s="21">
        <v>8.1999999999999993</v>
      </c>
      <c r="N323" s="21"/>
    </row>
    <row r="324" spans="1:14" x14ac:dyDescent="0.2">
      <c r="A324" s="23">
        <v>46014</v>
      </c>
      <c r="B324" s="18" t="s">
        <v>40</v>
      </c>
      <c r="C324" s="21" t="s">
        <v>33</v>
      </c>
      <c r="D324" s="18">
        <v>2826</v>
      </c>
      <c r="E324" s="21" t="s">
        <v>323</v>
      </c>
      <c r="F324" s="21">
        <v>500</v>
      </c>
      <c r="G324" s="21">
        <v>92</v>
      </c>
      <c r="H324" s="21"/>
      <c r="I324" s="24">
        <f t="shared" si="6"/>
        <v>46000</v>
      </c>
      <c r="J324" s="21">
        <v>6.9</v>
      </c>
      <c r="K324" s="21">
        <v>10.5</v>
      </c>
      <c r="L324" s="21"/>
      <c r="M324" s="21">
        <v>115.7</v>
      </c>
      <c r="N324" s="21"/>
    </row>
    <row r="325" spans="1:14" x14ac:dyDescent="0.2">
      <c r="A325" s="23">
        <v>46014</v>
      </c>
      <c r="B325" s="18" t="s">
        <v>40</v>
      </c>
      <c r="C325" s="21" t="s">
        <v>33</v>
      </c>
      <c r="D325" s="18">
        <v>3036</v>
      </c>
      <c r="E325" s="21" t="s">
        <v>324</v>
      </c>
      <c r="F325" s="21">
        <v>500</v>
      </c>
      <c r="G325" s="21">
        <v>16</v>
      </c>
      <c r="H325" s="21"/>
      <c r="I325" s="24">
        <f t="shared" si="6"/>
        <v>8000</v>
      </c>
      <c r="J325" s="21">
        <v>1.5</v>
      </c>
      <c r="K325" s="21">
        <v>6</v>
      </c>
      <c r="L325" s="21"/>
      <c r="M325" s="21">
        <v>25.9</v>
      </c>
      <c r="N325" s="21"/>
    </row>
    <row r="326" spans="1:14" x14ac:dyDescent="0.2">
      <c r="A326" s="23">
        <v>46014</v>
      </c>
      <c r="B326" s="18" t="s">
        <v>40</v>
      </c>
      <c r="C326" s="21" t="s">
        <v>24</v>
      </c>
      <c r="D326" s="18">
        <v>3296</v>
      </c>
      <c r="E326" s="21" t="s">
        <v>313</v>
      </c>
      <c r="F326" s="21">
        <v>4000</v>
      </c>
      <c r="G326" s="21">
        <v>7</v>
      </c>
      <c r="H326" s="21">
        <v>400</v>
      </c>
      <c r="I326" s="24">
        <f t="shared" si="6"/>
        <v>28400</v>
      </c>
      <c r="J326" s="21"/>
      <c r="K326" s="21"/>
      <c r="L326" s="21"/>
      <c r="M326" s="21"/>
      <c r="N326" s="21"/>
    </row>
    <row r="327" spans="1:14" x14ac:dyDescent="0.2">
      <c r="A327" s="23">
        <v>46014</v>
      </c>
      <c r="B327" s="18" t="s">
        <v>40</v>
      </c>
      <c r="C327" s="21" t="s">
        <v>24</v>
      </c>
      <c r="D327" s="18">
        <v>2909</v>
      </c>
      <c r="E327" s="21" t="s">
        <v>78</v>
      </c>
      <c r="F327" s="21">
        <v>2000</v>
      </c>
      <c r="G327" s="21">
        <v>25</v>
      </c>
      <c r="H327" s="21">
        <v>700</v>
      </c>
      <c r="I327" s="24">
        <f t="shared" si="6"/>
        <v>50700</v>
      </c>
      <c r="J327" s="21"/>
      <c r="K327" s="21">
        <v>3.8</v>
      </c>
      <c r="L327" s="21"/>
      <c r="M327" s="21"/>
      <c r="N327" s="21"/>
    </row>
    <row r="328" spans="1:14" x14ac:dyDescent="0.2">
      <c r="A328" s="23">
        <v>46014</v>
      </c>
      <c r="B328" s="18" t="s">
        <v>40</v>
      </c>
      <c r="C328" s="21" t="s">
        <v>27</v>
      </c>
      <c r="D328" s="18">
        <v>3296</v>
      </c>
      <c r="E328" s="21" t="s">
        <v>313</v>
      </c>
      <c r="F328" s="21">
        <v>4000</v>
      </c>
      <c r="G328" s="21">
        <v>7</v>
      </c>
      <c r="H328" s="21"/>
      <c r="I328" s="24">
        <f t="shared" si="6"/>
        <v>28000</v>
      </c>
      <c r="J328" s="21">
        <v>0.5</v>
      </c>
      <c r="K328" s="21"/>
      <c r="L328" s="21"/>
      <c r="M328" s="21"/>
      <c r="N328" s="21"/>
    </row>
    <row r="329" spans="1:14" x14ac:dyDescent="0.2">
      <c r="A329" s="23">
        <v>46014</v>
      </c>
      <c r="B329" s="18" t="s">
        <v>40</v>
      </c>
      <c r="C329" s="21" t="s">
        <v>27</v>
      </c>
      <c r="D329" s="18">
        <v>3145</v>
      </c>
      <c r="E329" s="21" t="s">
        <v>325</v>
      </c>
      <c r="F329" s="21">
        <v>3500</v>
      </c>
      <c r="G329" s="21">
        <v>26</v>
      </c>
      <c r="H329" s="21">
        <v>3000</v>
      </c>
      <c r="I329" s="24">
        <f t="shared" si="6"/>
        <v>94000</v>
      </c>
      <c r="J329" s="21">
        <v>1.5</v>
      </c>
      <c r="K329" s="21"/>
      <c r="L329" s="21"/>
      <c r="M329" s="21"/>
      <c r="N329" s="21"/>
    </row>
    <row r="330" spans="1:14" x14ac:dyDescent="0.2">
      <c r="A330" s="23">
        <v>46014</v>
      </c>
      <c r="B330" s="18" t="s">
        <v>40</v>
      </c>
      <c r="C330" s="21" t="s">
        <v>27</v>
      </c>
      <c r="D330" s="18">
        <v>3216</v>
      </c>
      <c r="E330" s="21" t="s">
        <v>326</v>
      </c>
      <c r="F330" s="21">
        <v>3500</v>
      </c>
      <c r="G330" s="21">
        <v>2</v>
      </c>
      <c r="H330" s="21"/>
      <c r="I330" s="24">
        <f t="shared" si="6"/>
        <v>7000</v>
      </c>
      <c r="J330" s="21">
        <v>0.5</v>
      </c>
      <c r="K330" s="21"/>
      <c r="L330" s="21"/>
      <c r="M330" s="21"/>
      <c r="N330" s="21"/>
    </row>
    <row r="331" spans="1:14" x14ac:dyDescent="0.2">
      <c r="A331" s="23">
        <v>46014</v>
      </c>
      <c r="B331" s="18" t="s">
        <v>40</v>
      </c>
      <c r="C331" s="21" t="s">
        <v>24</v>
      </c>
      <c r="D331" s="18">
        <v>3259</v>
      </c>
      <c r="E331" s="21" t="s">
        <v>327</v>
      </c>
      <c r="F331" s="21">
        <v>1000</v>
      </c>
      <c r="G331" s="21">
        <v>5</v>
      </c>
      <c r="H331" s="21"/>
      <c r="I331" s="24">
        <f t="shared" si="6"/>
        <v>5000</v>
      </c>
      <c r="J331" s="21">
        <v>0.2</v>
      </c>
      <c r="K331" s="21"/>
      <c r="L331" s="21"/>
      <c r="M331" s="21"/>
      <c r="N331" s="21"/>
    </row>
    <row r="332" spans="1:14" x14ac:dyDescent="0.2">
      <c r="A332" s="23">
        <v>46014</v>
      </c>
      <c r="B332" s="18" t="s">
        <v>40</v>
      </c>
      <c r="C332" s="21" t="s">
        <v>15</v>
      </c>
      <c r="D332" s="18">
        <v>2960</v>
      </c>
      <c r="E332" s="21" t="s">
        <v>328</v>
      </c>
      <c r="F332" s="21">
        <v>1000</v>
      </c>
      <c r="G332" s="21">
        <v>9</v>
      </c>
      <c r="H332" s="21"/>
      <c r="I332" s="24">
        <f t="shared" si="6"/>
        <v>9000</v>
      </c>
      <c r="J332" s="21"/>
      <c r="K332" s="21"/>
      <c r="L332" s="21"/>
      <c r="M332" s="21"/>
      <c r="N332" s="21"/>
    </row>
    <row r="333" spans="1:14" x14ac:dyDescent="0.2">
      <c r="A333" s="23">
        <v>46014</v>
      </c>
      <c r="B333" s="18" t="s">
        <v>40</v>
      </c>
      <c r="C333" s="21" t="s">
        <v>20</v>
      </c>
      <c r="D333" s="18">
        <v>2959</v>
      </c>
      <c r="E333" s="21" t="s">
        <v>225</v>
      </c>
      <c r="F333" s="21">
        <v>2000</v>
      </c>
      <c r="G333" s="21">
        <v>4</v>
      </c>
      <c r="H333" s="21"/>
      <c r="I333" s="24">
        <f t="shared" si="6"/>
        <v>8000</v>
      </c>
      <c r="J333" s="21"/>
      <c r="K333" s="21"/>
      <c r="L333" s="21"/>
      <c r="M333" s="21"/>
      <c r="N333" s="21"/>
    </row>
    <row r="334" spans="1:14" x14ac:dyDescent="0.2">
      <c r="A334" s="23">
        <v>46015</v>
      </c>
      <c r="B334" s="18" t="s">
        <v>54</v>
      </c>
      <c r="C334" s="21" t="s">
        <v>15</v>
      </c>
      <c r="D334" s="18">
        <v>2960</v>
      </c>
      <c r="E334" s="21" t="s">
        <v>328</v>
      </c>
      <c r="F334" s="21">
        <v>1000</v>
      </c>
      <c r="G334" s="21">
        <v>8</v>
      </c>
      <c r="H334" s="21"/>
      <c r="I334" s="24">
        <f t="shared" si="6"/>
        <v>8000</v>
      </c>
      <c r="J334" s="21">
        <v>3.6</v>
      </c>
      <c r="K334" s="21">
        <v>6.2</v>
      </c>
      <c r="L334" s="21"/>
      <c r="M334" s="21"/>
      <c r="N334" s="21"/>
    </row>
    <row r="335" spans="1:14" x14ac:dyDescent="0.2">
      <c r="A335" s="23">
        <v>46015</v>
      </c>
      <c r="B335" s="18" t="s">
        <v>54</v>
      </c>
      <c r="C335" s="21" t="s">
        <v>20</v>
      </c>
      <c r="D335" s="18">
        <v>2959</v>
      </c>
      <c r="E335" s="21" t="s">
        <v>225</v>
      </c>
      <c r="F335" s="21">
        <v>2000</v>
      </c>
      <c r="G335" s="21">
        <v>17</v>
      </c>
      <c r="H335" s="21">
        <v>830</v>
      </c>
      <c r="I335" s="24">
        <f t="shared" si="6"/>
        <v>34830</v>
      </c>
      <c r="J335" s="21">
        <v>2.1</v>
      </c>
      <c r="K335" s="21">
        <v>1</v>
      </c>
      <c r="L335" s="21"/>
      <c r="M335" s="21"/>
      <c r="N335" s="21"/>
    </row>
    <row r="336" spans="1:14" x14ac:dyDescent="0.2">
      <c r="A336" s="23">
        <v>46015</v>
      </c>
      <c r="B336" s="18" t="s">
        <v>54</v>
      </c>
      <c r="C336" s="21" t="s">
        <v>33</v>
      </c>
      <c r="D336" s="18">
        <v>3036</v>
      </c>
      <c r="E336" s="21" t="s">
        <v>324</v>
      </c>
      <c r="F336" s="21">
        <v>500</v>
      </c>
      <c r="G336" s="21">
        <v>5</v>
      </c>
      <c r="H336" s="21">
        <v>340</v>
      </c>
      <c r="I336" s="24">
        <f t="shared" ref="I336:I367" si="7">F336*G336+H336</f>
        <v>2840</v>
      </c>
      <c r="J336" s="21">
        <v>0.4</v>
      </c>
      <c r="K336" s="21">
        <v>1.4</v>
      </c>
      <c r="L336" s="21"/>
      <c r="M336" s="21">
        <v>8.9</v>
      </c>
      <c r="N336" s="21"/>
    </row>
    <row r="337" spans="1:14" x14ac:dyDescent="0.2">
      <c r="A337" s="23">
        <v>46015</v>
      </c>
      <c r="B337" s="18" t="s">
        <v>54</v>
      </c>
      <c r="C337" s="21" t="s">
        <v>24</v>
      </c>
      <c r="D337" s="18">
        <v>3259</v>
      </c>
      <c r="E337" s="21" t="s">
        <v>327</v>
      </c>
      <c r="F337" s="21">
        <v>1000</v>
      </c>
      <c r="G337" s="21">
        <v>5</v>
      </c>
      <c r="H337" s="21">
        <v>820</v>
      </c>
      <c r="I337" s="24">
        <f t="shared" si="7"/>
        <v>5820</v>
      </c>
      <c r="J337" s="21">
        <v>0.7</v>
      </c>
      <c r="K337" s="21"/>
      <c r="L337" s="21"/>
      <c r="M337" s="21"/>
      <c r="N337" s="21"/>
    </row>
    <row r="338" spans="1:14" x14ac:dyDescent="0.2">
      <c r="A338" s="23">
        <v>46015</v>
      </c>
      <c r="B338" s="18" t="s">
        <v>54</v>
      </c>
      <c r="C338" s="21" t="s">
        <v>27</v>
      </c>
      <c r="D338" s="18">
        <v>3216</v>
      </c>
      <c r="E338" s="21" t="s">
        <v>329</v>
      </c>
      <c r="F338" s="21">
        <v>3500</v>
      </c>
      <c r="G338" s="21">
        <v>15</v>
      </c>
      <c r="H338" s="21">
        <v>1900</v>
      </c>
      <c r="I338" s="24">
        <f t="shared" si="7"/>
        <v>54400</v>
      </c>
      <c r="J338" s="21">
        <v>1.5</v>
      </c>
      <c r="K338" s="21"/>
      <c r="L338" s="21"/>
      <c r="M338" s="21"/>
      <c r="N338" s="21"/>
    </row>
    <row r="339" spans="1:14" x14ac:dyDescent="0.2">
      <c r="A339" s="23">
        <v>46015</v>
      </c>
      <c r="B339" s="18" t="s">
        <v>54</v>
      </c>
      <c r="C339" s="21" t="s">
        <v>33</v>
      </c>
      <c r="D339" s="18">
        <v>3035</v>
      </c>
      <c r="E339" s="21" t="s">
        <v>330</v>
      </c>
      <c r="F339" s="21">
        <v>400</v>
      </c>
      <c r="G339" s="21">
        <v>26</v>
      </c>
      <c r="H339" s="21"/>
      <c r="I339" s="24">
        <f t="shared" si="7"/>
        <v>10400</v>
      </c>
      <c r="J339" s="21">
        <v>7</v>
      </c>
      <c r="K339" s="21">
        <v>10</v>
      </c>
      <c r="L339" s="21"/>
      <c r="M339" s="21">
        <v>48.5</v>
      </c>
      <c r="N339" s="21"/>
    </row>
    <row r="340" spans="1:14" x14ac:dyDescent="0.2">
      <c r="A340" s="23">
        <v>46015</v>
      </c>
      <c r="B340" s="18" t="s">
        <v>54</v>
      </c>
      <c r="C340" s="21" t="s">
        <v>24</v>
      </c>
      <c r="D340" s="18">
        <v>3017</v>
      </c>
      <c r="E340" s="21" t="s">
        <v>331</v>
      </c>
      <c r="F340" s="21">
        <v>400</v>
      </c>
      <c r="G340" s="21">
        <v>21</v>
      </c>
      <c r="H340" s="21">
        <v>300</v>
      </c>
      <c r="I340" s="24">
        <f t="shared" si="7"/>
        <v>8700</v>
      </c>
      <c r="J340" s="21">
        <v>8</v>
      </c>
      <c r="K340" s="21">
        <v>7.1</v>
      </c>
      <c r="L340" s="21"/>
      <c r="M340" s="21">
        <v>4</v>
      </c>
      <c r="N340" s="21"/>
    </row>
    <row r="341" spans="1:14" x14ac:dyDescent="0.2">
      <c r="A341" s="23">
        <v>46015</v>
      </c>
      <c r="B341" s="18" t="s">
        <v>54</v>
      </c>
      <c r="C341" s="21" t="s">
        <v>15</v>
      </c>
      <c r="D341" s="18">
        <v>2961</v>
      </c>
      <c r="E341" s="21" t="s">
        <v>332</v>
      </c>
      <c r="F341" s="21">
        <v>900</v>
      </c>
      <c r="G341" s="21">
        <v>7</v>
      </c>
      <c r="H341" s="21">
        <v>600</v>
      </c>
      <c r="I341" s="24">
        <f t="shared" si="7"/>
        <v>6900</v>
      </c>
      <c r="J341" s="21">
        <v>6.5</v>
      </c>
      <c r="K341" s="21"/>
      <c r="L341" s="21"/>
      <c r="M341" s="21"/>
      <c r="N341" s="21"/>
    </row>
    <row r="342" spans="1:14" x14ac:dyDescent="0.2">
      <c r="A342" s="23">
        <v>46015</v>
      </c>
      <c r="B342" s="18" t="s">
        <v>54</v>
      </c>
      <c r="C342" s="21" t="s">
        <v>24</v>
      </c>
      <c r="D342" s="18">
        <v>3016</v>
      </c>
      <c r="E342" s="21" t="s">
        <v>333</v>
      </c>
      <c r="F342" s="21">
        <v>500</v>
      </c>
      <c r="G342" s="21">
        <v>8</v>
      </c>
      <c r="H342" s="21">
        <v>400</v>
      </c>
      <c r="I342" s="24">
        <f t="shared" si="7"/>
        <v>4400</v>
      </c>
      <c r="J342" s="21">
        <v>6.9</v>
      </c>
      <c r="K342" s="21">
        <v>3</v>
      </c>
      <c r="L342" s="21"/>
      <c r="M342" s="21">
        <v>2</v>
      </c>
      <c r="N342" s="21"/>
    </row>
    <row r="343" spans="1:14" x14ac:dyDescent="0.2">
      <c r="A343" s="23">
        <v>46015</v>
      </c>
      <c r="B343" s="18" t="s">
        <v>54</v>
      </c>
      <c r="C343" s="21" t="s">
        <v>27</v>
      </c>
      <c r="D343" s="18">
        <v>2981</v>
      </c>
      <c r="E343" s="21" t="s">
        <v>334</v>
      </c>
      <c r="F343" s="21">
        <v>1000</v>
      </c>
      <c r="G343" s="21">
        <v>10</v>
      </c>
      <c r="H343" s="21"/>
      <c r="I343" s="24">
        <f t="shared" si="7"/>
        <v>10000</v>
      </c>
      <c r="J343" s="21"/>
      <c r="K343" s="21">
        <v>3.2</v>
      </c>
      <c r="L343" s="21"/>
      <c r="M343" s="21"/>
      <c r="N343" s="21"/>
    </row>
    <row r="344" spans="1:14" x14ac:dyDescent="0.2">
      <c r="A344" s="23">
        <v>46015</v>
      </c>
      <c r="B344" s="18" t="s">
        <v>54</v>
      </c>
      <c r="C344" s="21" t="s">
        <v>15</v>
      </c>
      <c r="D344" s="18">
        <v>2843</v>
      </c>
      <c r="E344" s="21" t="s">
        <v>335</v>
      </c>
      <c r="F344" s="21">
        <v>500</v>
      </c>
      <c r="G344" s="21">
        <v>1</v>
      </c>
      <c r="H344" s="21"/>
      <c r="I344" s="24">
        <f t="shared" si="7"/>
        <v>500</v>
      </c>
      <c r="J344" s="21">
        <v>0.5</v>
      </c>
      <c r="K344" s="21"/>
      <c r="L344" s="21"/>
      <c r="M344" s="21"/>
      <c r="N344" s="21"/>
    </row>
    <row r="345" spans="1:14" x14ac:dyDescent="0.2">
      <c r="A345" s="23">
        <v>46015</v>
      </c>
      <c r="B345" s="18" t="s">
        <v>54</v>
      </c>
      <c r="C345" s="21" t="s">
        <v>15</v>
      </c>
      <c r="D345" s="18">
        <v>3116</v>
      </c>
      <c r="E345" s="21" t="s">
        <v>336</v>
      </c>
      <c r="F345" s="21">
        <v>65</v>
      </c>
      <c r="G345" s="21">
        <v>1</v>
      </c>
      <c r="H345" s="21"/>
      <c r="I345" s="24">
        <f t="shared" si="7"/>
        <v>65</v>
      </c>
      <c r="J345" s="21"/>
      <c r="K345" s="21"/>
      <c r="L345" s="21"/>
      <c r="M345" s="21"/>
      <c r="N345" s="21"/>
    </row>
    <row r="346" spans="1:14" x14ac:dyDescent="0.2">
      <c r="A346" s="23">
        <v>46015</v>
      </c>
      <c r="B346" s="18" t="s">
        <v>54</v>
      </c>
      <c r="C346" s="21" t="s">
        <v>15</v>
      </c>
      <c r="D346" s="18">
        <v>3115</v>
      </c>
      <c r="E346" s="21" t="s">
        <v>337</v>
      </c>
      <c r="F346" s="21">
        <v>75</v>
      </c>
      <c r="G346" s="21">
        <v>1</v>
      </c>
      <c r="H346" s="21"/>
      <c r="I346" s="24">
        <f t="shared" si="7"/>
        <v>75</v>
      </c>
      <c r="J346" s="21">
        <v>2.7</v>
      </c>
      <c r="K346" s="21"/>
      <c r="L346" s="21"/>
      <c r="M346" s="21"/>
      <c r="N346" s="21"/>
    </row>
    <row r="347" spans="1:14" x14ac:dyDescent="0.2">
      <c r="A347" s="23">
        <v>46015</v>
      </c>
      <c r="B347" s="18" t="s">
        <v>54</v>
      </c>
      <c r="C347" s="21" t="s">
        <v>15</v>
      </c>
      <c r="D347" s="18">
        <v>3275</v>
      </c>
      <c r="E347" s="21" t="s">
        <v>338</v>
      </c>
      <c r="F347" s="21">
        <v>1000</v>
      </c>
      <c r="G347" s="21">
        <v>28</v>
      </c>
      <c r="H347" s="21">
        <v>250</v>
      </c>
      <c r="I347" s="24">
        <f t="shared" si="7"/>
        <v>28250</v>
      </c>
      <c r="J347" s="21">
        <v>3.6</v>
      </c>
      <c r="K347" s="21"/>
      <c r="L347" s="21"/>
      <c r="M347" s="21"/>
      <c r="N347" s="21"/>
    </row>
    <row r="348" spans="1:14" x14ac:dyDescent="0.2">
      <c r="A348" s="23">
        <v>46015</v>
      </c>
      <c r="B348" s="18" t="s">
        <v>54</v>
      </c>
      <c r="C348" s="21" t="s">
        <v>27</v>
      </c>
      <c r="D348" s="18">
        <v>2980</v>
      </c>
      <c r="E348" s="21" t="s">
        <v>339</v>
      </c>
      <c r="F348" s="21">
        <v>500</v>
      </c>
      <c r="G348" s="21">
        <v>6</v>
      </c>
      <c r="H348" s="21">
        <v>250</v>
      </c>
      <c r="I348" s="24">
        <f t="shared" si="7"/>
        <v>3250</v>
      </c>
      <c r="J348" s="21">
        <v>8.8000000000000007</v>
      </c>
      <c r="K348" s="21"/>
      <c r="L348" s="21"/>
      <c r="M348" s="21">
        <v>4</v>
      </c>
      <c r="N348" s="21"/>
    </row>
    <row r="349" spans="1:14" x14ac:dyDescent="0.2">
      <c r="A349" s="23">
        <v>46015</v>
      </c>
      <c r="B349" s="18" t="s">
        <v>54</v>
      </c>
      <c r="C349" s="21" t="s">
        <v>24</v>
      </c>
      <c r="D349" s="18">
        <v>2895</v>
      </c>
      <c r="E349" s="21" t="s">
        <v>340</v>
      </c>
      <c r="F349" s="21">
        <v>500</v>
      </c>
      <c r="G349" s="21">
        <v>36</v>
      </c>
      <c r="H349" s="21"/>
      <c r="I349" s="24">
        <f t="shared" si="7"/>
        <v>18000</v>
      </c>
      <c r="J349" s="21">
        <v>45723</v>
      </c>
      <c r="K349" s="21">
        <v>7.8</v>
      </c>
      <c r="L349" s="21"/>
      <c r="M349" s="21">
        <v>45817</v>
      </c>
      <c r="N349" s="21"/>
    </row>
    <row r="350" spans="1:14" x14ac:dyDescent="0.2">
      <c r="A350" s="23">
        <v>46015</v>
      </c>
      <c r="B350" s="18" t="s">
        <v>54</v>
      </c>
      <c r="C350" s="21" t="s">
        <v>33</v>
      </c>
      <c r="D350" s="18">
        <v>3010</v>
      </c>
      <c r="E350" s="21" t="s">
        <v>341</v>
      </c>
      <c r="F350" s="21">
        <v>500</v>
      </c>
      <c r="G350" s="21">
        <v>13</v>
      </c>
      <c r="H350" s="21">
        <v>250</v>
      </c>
      <c r="I350" s="24">
        <f t="shared" si="7"/>
        <v>6750</v>
      </c>
      <c r="J350" s="21">
        <v>4.2</v>
      </c>
      <c r="K350" s="21"/>
      <c r="L350" s="21">
        <v>22.1</v>
      </c>
      <c r="M350" s="21">
        <v>24</v>
      </c>
      <c r="N350" s="21"/>
    </row>
    <row r="351" spans="1:14" x14ac:dyDescent="0.2">
      <c r="A351" s="23">
        <v>46015</v>
      </c>
      <c r="B351" s="18" t="s">
        <v>54</v>
      </c>
      <c r="C351" s="21" t="s">
        <v>33</v>
      </c>
      <c r="D351" s="18">
        <v>2826</v>
      </c>
      <c r="E351" s="21" t="s">
        <v>323</v>
      </c>
      <c r="F351" s="21">
        <v>500</v>
      </c>
      <c r="G351" s="21">
        <v>69</v>
      </c>
      <c r="H351" s="21"/>
      <c r="I351" s="24">
        <f t="shared" si="7"/>
        <v>34500</v>
      </c>
      <c r="J351" s="21">
        <v>4.2</v>
      </c>
      <c r="K351" s="21">
        <v>7.6</v>
      </c>
      <c r="L351" s="21"/>
      <c r="M351" s="21"/>
      <c r="N351" s="21"/>
    </row>
    <row r="352" spans="1:14" x14ac:dyDescent="0.2">
      <c r="A352" s="23">
        <v>46015</v>
      </c>
      <c r="B352" s="18" t="s">
        <v>54</v>
      </c>
      <c r="C352" s="21" t="s">
        <v>33</v>
      </c>
      <c r="D352" s="18">
        <v>2796</v>
      </c>
      <c r="E352" s="21" t="s">
        <v>342</v>
      </c>
      <c r="F352" s="21">
        <v>1000</v>
      </c>
      <c r="G352" s="21">
        <v>7</v>
      </c>
      <c r="H352" s="21"/>
      <c r="I352" s="24">
        <f t="shared" si="7"/>
        <v>7000</v>
      </c>
      <c r="J352" s="21">
        <v>0.3</v>
      </c>
      <c r="K352" s="21"/>
      <c r="L352" s="21"/>
      <c r="M352" s="21">
        <v>6.5</v>
      </c>
      <c r="N352" s="21"/>
    </row>
    <row r="353" spans="1:14" x14ac:dyDescent="0.2">
      <c r="A353" s="23">
        <v>46015</v>
      </c>
      <c r="B353" s="18" t="s">
        <v>54</v>
      </c>
      <c r="C353" s="21" t="s">
        <v>15</v>
      </c>
      <c r="D353" s="18">
        <v>3328</v>
      </c>
      <c r="E353" s="21" t="s">
        <v>343</v>
      </c>
      <c r="F353" s="21">
        <v>300</v>
      </c>
      <c r="G353" s="21">
        <v>50</v>
      </c>
      <c r="H353" s="21">
        <v>200</v>
      </c>
      <c r="I353" s="24">
        <f t="shared" si="7"/>
        <v>15200</v>
      </c>
      <c r="J353" s="21">
        <v>2</v>
      </c>
      <c r="K353" s="21"/>
      <c r="L353" s="21"/>
      <c r="M353" s="21"/>
      <c r="N353" s="21"/>
    </row>
    <row r="354" spans="1:14" x14ac:dyDescent="0.2">
      <c r="A354" s="23">
        <v>46015</v>
      </c>
      <c r="B354" s="18" t="s">
        <v>54</v>
      </c>
      <c r="C354" s="21" t="s">
        <v>20</v>
      </c>
      <c r="D354" s="18">
        <v>3165</v>
      </c>
      <c r="E354" s="21" t="s">
        <v>319</v>
      </c>
      <c r="F354" s="21">
        <v>1500</v>
      </c>
      <c r="G354" s="21">
        <v>15</v>
      </c>
      <c r="H354" s="21">
        <v>430</v>
      </c>
      <c r="I354" s="24">
        <f t="shared" si="7"/>
        <v>22930</v>
      </c>
      <c r="J354" s="21">
        <v>1.5</v>
      </c>
      <c r="K354" s="21"/>
      <c r="L354" s="21"/>
      <c r="M354" s="21"/>
      <c r="N354" s="21"/>
    </row>
    <row r="355" spans="1:14" x14ac:dyDescent="0.2">
      <c r="A355" s="23">
        <v>46015</v>
      </c>
      <c r="B355" s="18" t="s">
        <v>54</v>
      </c>
      <c r="C355" s="21" t="s">
        <v>20</v>
      </c>
      <c r="D355" s="18">
        <v>3133</v>
      </c>
      <c r="E355" s="21" t="s">
        <v>344</v>
      </c>
      <c r="F355" s="21">
        <v>800</v>
      </c>
      <c r="G355" s="21">
        <v>12</v>
      </c>
      <c r="H355" s="21"/>
      <c r="I355" s="24">
        <f t="shared" si="7"/>
        <v>9600</v>
      </c>
      <c r="J355" s="21">
        <v>1.2</v>
      </c>
      <c r="K355" s="21"/>
      <c r="L355" s="21"/>
      <c r="M355" s="21"/>
      <c r="N355" s="21"/>
    </row>
    <row r="356" spans="1:14" x14ac:dyDescent="0.2">
      <c r="A356" s="23">
        <v>46015</v>
      </c>
      <c r="B356" s="18" t="s">
        <v>54</v>
      </c>
      <c r="C356" s="21" t="s">
        <v>27</v>
      </c>
      <c r="D356" s="18">
        <v>3094</v>
      </c>
      <c r="E356" s="21" t="s">
        <v>345</v>
      </c>
      <c r="F356" s="21">
        <v>1000</v>
      </c>
      <c r="G356" s="21">
        <v>37</v>
      </c>
      <c r="H356" s="21">
        <v>200</v>
      </c>
      <c r="I356" s="24">
        <f t="shared" si="7"/>
        <v>37200</v>
      </c>
      <c r="J356" s="21">
        <v>4.8</v>
      </c>
      <c r="K356" s="21"/>
      <c r="L356" s="21"/>
      <c r="M356" s="21"/>
      <c r="N356" s="21"/>
    </row>
    <row r="357" spans="1:14" x14ac:dyDescent="0.2">
      <c r="A357" s="23">
        <v>46016</v>
      </c>
      <c r="B357" s="18" t="s">
        <v>14</v>
      </c>
      <c r="C357" s="21" t="s">
        <v>15</v>
      </c>
      <c r="D357" s="18">
        <v>3229</v>
      </c>
      <c r="E357" s="21" t="s">
        <v>249</v>
      </c>
      <c r="F357" s="21">
        <v>1000</v>
      </c>
      <c r="G357" s="21">
        <v>21</v>
      </c>
      <c r="H357" s="21">
        <v>850</v>
      </c>
      <c r="I357" s="24">
        <f t="shared" si="7"/>
        <v>21850</v>
      </c>
      <c r="J357" s="21">
        <v>11.5</v>
      </c>
      <c r="K357" s="21"/>
      <c r="L357" s="21"/>
      <c r="M357" s="21"/>
      <c r="N357" s="21"/>
    </row>
    <row r="358" spans="1:14" x14ac:dyDescent="0.2">
      <c r="A358" s="23">
        <v>46016</v>
      </c>
      <c r="B358" s="18" t="s">
        <v>14</v>
      </c>
      <c r="C358" s="21" t="s">
        <v>15</v>
      </c>
      <c r="D358" s="18">
        <v>3237</v>
      </c>
      <c r="E358" s="21" t="s">
        <v>346</v>
      </c>
      <c r="F358" s="21">
        <v>150</v>
      </c>
      <c r="G358" s="21">
        <v>20</v>
      </c>
      <c r="H358" s="21"/>
      <c r="I358" s="24">
        <f t="shared" si="7"/>
        <v>3000</v>
      </c>
      <c r="J358" s="21">
        <v>26.5</v>
      </c>
      <c r="K358" s="21">
        <v>33</v>
      </c>
      <c r="L358" s="21"/>
      <c r="M358" s="21"/>
      <c r="N358" s="21"/>
    </row>
    <row r="359" spans="1:14" x14ac:dyDescent="0.2">
      <c r="A359" s="23">
        <v>46016</v>
      </c>
      <c r="B359" s="18" t="s">
        <v>14</v>
      </c>
      <c r="C359" s="21" t="s">
        <v>15</v>
      </c>
      <c r="D359" s="18">
        <v>3238</v>
      </c>
      <c r="E359" s="21" t="s">
        <v>347</v>
      </c>
      <c r="F359" s="21">
        <v>150</v>
      </c>
      <c r="G359" s="21">
        <v>15</v>
      </c>
      <c r="H359" s="21"/>
      <c r="I359" s="24">
        <f t="shared" si="7"/>
        <v>2250</v>
      </c>
      <c r="J359" s="21">
        <v>6.2</v>
      </c>
      <c r="K359" s="21"/>
      <c r="L359" s="21"/>
      <c r="M359" s="21"/>
      <c r="N359" s="21"/>
    </row>
    <row r="360" spans="1:14" x14ac:dyDescent="0.2">
      <c r="A360" s="23">
        <v>46016</v>
      </c>
      <c r="B360" s="18" t="s">
        <v>14</v>
      </c>
      <c r="C360" s="21" t="s">
        <v>20</v>
      </c>
      <c r="D360" s="18">
        <v>3133</v>
      </c>
      <c r="E360" s="21" t="s">
        <v>344</v>
      </c>
      <c r="F360" s="21">
        <v>800</v>
      </c>
      <c r="G360" s="21">
        <v>13</v>
      </c>
      <c r="H360" s="21">
        <v>300</v>
      </c>
      <c r="I360" s="24">
        <f t="shared" ref="I360:I436" si="8">F360*G360+H360</f>
        <v>10700</v>
      </c>
      <c r="J360" s="21">
        <v>0.2</v>
      </c>
      <c r="K360" s="21"/>
      <c r="L360" s="21"/>
      <c r="M360" s="21"/>
      <c r="N360" s="21"/>
    </row>
    <row r="361" spans="1:14" x14ac:dyDescent="0.2">
      <c r="A361" s="23">
        <v>46016</v>
      </c>
      <c r="B361" s="18" t="s">
        <v>14</v>
      </c>
      <c r="C361" s="21" t="s">
        <v>20</v>
      </c>
      <c r="D361" s="18">
        <v>3172</v>
      </c>
      <c r="E361" s="21" t="s">
        <v>348</v>
      </c>
      <c r="F361" s="21">
        <v>600</v>
      </c>
      <c r="G361" s="21">
        <v>16</v>
      </c>
      <c r="H361" s="21">
        <v>480</v>
      </c>
      <c r="I361" s="24">
        <f t="shared" si="8"/>
        <v>10080</v>
      </c>
      <c r="J361" s="21">
        <v>3.3</v>
      </c>
      <c r="K361" s="21"/>
      <c r="L361" s="21"/>
      <c r="M361" s="21"/>
      <c r="N361" s="21"/>
    </row>
    <row r="362" spans="1:14" x14ac:dyDescent="0.2">
      <c r="A362" s="23">
        <v>46016</v>
      </c>
      <c r="B362" s="18" t="s">
        <v>14</v>
      </c>
      <c r="C362" s="21" t="s">
        <v>20</v>
      </c>
      <c r="D362" s="18">
        <v>3249</v>
      </c>
      <c r="E362" s="21" t="s">
        <v>349</v>
      </c>
      <c r="F362" s="21">
        <v>1000</v>
      </c>
      <c r="G362" s="21">
        <v>22</v>
      </c>
      <c r="H362" s="21">
        <v>500</v>
      </c>
      <c r="I362" s="24">
        <f t="shared" si="8"/>
        <v>22500</v>
      </c>
      <c r="J362" s="21">
        <v>1.1000000000000001</v>
      </c>
      <c r="K362" s="21"/>
      <c r="L362" s="21"/>
      <c r="M362" s="21"/>
      <c r="N362" s="21"/>
    </row>
    <row r="363" spans="1:14" x14ac:dyDescent="0.2">
      <c r="A363" s="23">
        <v>46016</v>
      </c>
      <c r="B363" s="18" t="s">
        <v>14</v>
      </c>
      <c r="C363" s="21" t="s">
        <v>20</v>
      </c>
      <c r="D363" s="18">
        <v>3274</v>
      </c>
      <c r="E363" s="21" t="s">
        <v>350</v>
      </c>
      <c r="F363" s="21">
        <v>1500</v>
      </c>
      <c r="G363" s="21">
        <v>19</v>
      </c>
      <c r="H363" s="21">
        <v>1400</v>
      </c>
      <c r="I363" s="24">
        <f t="shared" si="8"/>
        <v>29900</v>
      </c>
      <c r="J363" s="21">
        <v>0.8</v>
      </c>
      <c r="K363" s="21"/>
      <c r="L363" s="21"/>
      <c r="M363" s="21"/>
      <c r="N363" s="21"/>
    </row>
    <row r="364" spans="1:14" x14ac:dyDescent="0.2">
      <c r="A364" s="23">
        <v>46016</v>
      </c>
      <c r="B364" s="18" t="s">
        <v>14</v>
      </c>
      <c r="C364" s="21" t="s">
        <v>20</v>
      </c>
      <c r="D364" s="18">
        <v>3113</v>
      </c>
      <c r="E364" s="21" t="s">
        <v>351</v>
      </c>
      <c r="F364" s="21">
        <v>2500</v>
      </c>
      <c r="G364" s="21">
        <v>4</v>
      </c>
      <c r="H364" s="21"/>
      <c r="I364" s="24">
        <f t="shared" si="8"/>
        <v>10000</v>
      </c>
      <c r="J364" s="21">
        <v>1.8</v>
      </c>
      <c r="K364" s="21"/>
      <c r="L364" s="21"/>
      <c r="M364" s="21"/>
      <c r="N364" s="21"/>
    </row>
    <row r="365" spans="1:14" x14ac:dyDescent="0.2">
      <c r="A365" s="23">
        <v>46016</v>
      </c>
      <c r="B365" s="18" t="s">
        <v>14</v>
      </c>
      <c r="C365" s="21" t="s">
        <v>24</v>
      </c>
      <c r="D365" s="18">
        <v>2895</v>
      </c>
      <c r="E365" s="21" t="s">
        <v>340</v>
      </c>
      <c r="F365" s="21">
        <v>500</v>
      </c>
      <c r="G365" s="21">
        <v>59</v>
      </c>
      <c r="H365" s="21">
        <v>100</v>
      </c>
      <c r="I365" s="24">
        <f t="shared" si="8"/>
        <v>29600</v>
      </c>
      <c r="J365" s="21">
        <v>17.600000000000001</v>
      </c>
      <c r="K365" s="21">
        <v>17.600000000000001</v>
      </c>
      <c r="L365" s="21"/>
      <c r="M365" s="21">
        <v>14.1</v>
      </c>
      <c r="N365" s="21"/>
    </row>
    <row r="366" spans="1:14" x14ac:dyDescent="0.2">
      <c r="A366" s="23">
        <v>46016</v>
      </c>
      <c r="B366" s="18" t="s">
        <v>14</v>
      </c>
      <c r="C366" s="21" t="s">
        <v>24</v>
      </c>
      <c r="D366" s="18">
        <v>2978</v>
      </c>
      <c r="E366" s="21" t="s">
        <v>352</v>
      </c>
      <c r="F366" s="21">
        <v>500</v>
      </c>
      <c r="G366" s="21">
        <v>4</v>
      </c>
      <c r="H366" s="21"/>
      <c r="I366" s="24">
        <f t="shared" si="8"/>
        <v>2000</v>
      </c>
      <c r="J366" s="21">
        <v>5.2</v>
      </c>
      <c r="K366" s="21"/>
      <c r="L366" s="21"/>
      <c r="M366" s="21">
        <v>0.7</v>
      </c>
      <c r="N366" s="21"/>
    </row>
    <row r="367" spans="1:14" x14ac:dyDescent="0.2">
      <c r="A367" s="23">
        <v>46016</v>
      </c>
      <c r="B367" s="18" t="s">
        <v>14</v>
      </c>
      <c r="C367" s="21" t="s">
        <v>27</v>
      </c>
      <c r="D367" s="18">
        <v>3301</v>
      </c>
      <c r="E367" s="21" t="s">
        <v>345</v>
      </c>
      <c r="F367" s="21">
        <v>1000</v>
      </c>
      <c r="G367" s="21">
        <v>36</v>
      </c>
      <c r="H367" s="21">
        <v>200</v>
      </c>
      <c r="I367" s="24">
        <f t="shared" si="8"/>
        <v>36200</v>
      </c>
      <c r="J367" s="21"/>
      <c r="K367" s="21">
        <v>2.8</v>
      </c>
      <c r="L367" s="21"/>
      <c r="M367" s="21"/>
      <c r="N367" s="21"/>
    </row>
    <row r="368" spans="1:14" x14ac:dyDescent="0.2">
      <c r="A368" s="23">
        <v>46016</v>
      </c>
      <c r="B368" s="18" t="s">
        <v>14</v>
      </c>
      <c r="C368" s="21" t="s">
        <v>27</v>
      </c>
      <c r="D368" s="18">
        <v>3096</v>
      </c>
      <c r="E368" s="21" t="s">
        <v>353</v>
      </c>
      <c r="F368" s="21">
        <v>2000</v>
      </c>
      <c r="G368" s="21">
        <v>20</v>
      </c>
      <c r="H368" s="21"/>
      <c r="I368" s="24">
        <f t="shared" si="8"/>
        <v>40000</v>
      </c>
      <c r="J368" s="21"/>
      <c r="K368" s="21">
        <v>3.8</v>
      </c>
      <c r="L368" s="21"/>
      <c r="M368" s="21"/>
      <c r="N368" s="21"/>
    </row>
    <row r="369" spans="1:14" x14ac:dyDescent="0.2">
      <c r="A369" s="23">
        <v>46016</v>
      </c>
      <c r="B369" s="18" t="s">
        <v>14</v>
      </c>
      <c r="C369" s="21" t="s">
        <v>33</v>
      </c>
      <c r="D369" s="18">
        <v>2796</v>
      </c>
      <c r="E369" s="21" t="s">
        <v>342</v>
      </c>
      <c r="F369" s="21">
        <v>1000</v>
      </c>
      <c r="G369" s="21">
        <v>17</v>
      </c>
      <c r="H369" s="21">
        <v>850</v>
      </c>
      <c r="I369" s="24">
        <f t="shared" si="8"/>
        <v>17850</v>
      </c>
      <c r="J369" s="21">
        <v>1</v>
      </c>
      <c r="K369" s="21"/>
      <c r="L369" s="21"/>
      <c r="M369" s="21">
        <v>18.2</v>
      </c>
      <c r="N369" s="21" t="s">
        <v>354</v>
      </c>
    </row>
    <row r="370" spans="1:14" x14ac:dyDescent="0.2">
      <c r="A370" s="23">
        <v>46016</v>
      </c>
      <c r="B370" s="18" t="s">
        <v>14</v>
      </c>
      <c r="C370" s="21" t="s">
        <v>33</v>
      </c>
      <c r="D370" s="18">
        <v>3085</v>
      </c>
      <c r="E370" s="21" t="s">
        <v>322</v>
      </c>
      <c r="F370" s="21">
        <v>500</v>
      </c>
      <c r="G370" s="21">
        <v>55</v>
      </c>
      <c r="H370" s="21">
        <v>225</v>
      </c>
      <c r="I370" s="24">
        <f t="shared" si="8"/>
        <v>27725</v>
      </c>
      <c r="J370" s="21">
        <v>8.4</v>
      </c>
      <c r="K370" s="21">
        <v>10.6</v>
      </c>
      <c r="L370" s="21"/>
      <c r="M370" s="21">
        <v>98</v>
      </c>
      <c r="N370" s="21"/>
    </row>
    <row r="371" spans="1:14" x14ac:dyDescent="0.2">
      <c r="A371" s="23">
        <v>46016</v>
      </c>
      <c r="B371" s="18" t="s">
        <v>14</v>
      </c>
      <c r="C371" s="21" t="s">
        <v>33</v>
      </c>
      <c r="D371" s="18">
        <v>3185</v>
      </c>
      <c r="E371" s="21" t="s">
        <v>355</v>
      </c>
      <c r="F371" s="21">
        <v>1000</v>
      </c>
      <c r="G371" s="21">
        <v>23</v>
      </c>
      <c r="H371" s="21">
        <v>250</v>
      </c>
      <c r="I371" s="24">
        <f t="shared" si="8"/>
        <v>23250</v>
      </c>
      <c r="J371" s="21">
        <v>5.4</v>
      </c>
      <c r="K371" s="21">
        <v>1.6</v>
      </c>
      <c r="L371" s="21"/>
      <c r="M371" s="21">
        <v>18</v>
      </c>
      <c r="N371" s="21"/>
    </row>
    <row r="372" spans="1:14" x14ac:dyDescent="0.2">
      <c r="A372" s="23">
        <v>46016</v>
      </c>
      <c r="B372" s="18" t="s">
        <v>14</v>
      </c>
      <c r="C372" s="21" t="s">
        <v>33</v>
      </c>
      <c r="D372" s="18">
        <v>3129</v>
      </c>
      <c r="E372" s="21" t="s">
        <v>356</v>
      </c>
      <c r="F372" s="21">
        <v>400</v>
      </c>
      <c r="G372" s="21">
        <v>10</v>
      </c>
      <c r="H372" s="21"/>
      <c r="I372" s="24">
        <f t="shared" si="8"/>
        <v>4000</v>
      </c>
      <c r="J372" s="21">
        <v>3</v>
      </c>
      <c r="K372" s="21">
        <v>0.8</v>
      </c>
      <c r="L372" s="21"/>
      <c r="M372" s="21">
        <v>12.7</v>
      </c>
      <c r="N372" s="21"/>
    </row>
    <row r="373" spans="1:14" x14ac:dyDescent="0.2">
      <c r="A373" s="23">
        <v>46017</v>
      </c>
      <c r="B373" s="18" t="s">
        <v>40</v>
      </c>
      <c r="C373" s="21" t="s">
        <v>24</v>
      </c>
      <c r="D373" s="18">
        <v>2978</v>
      </c>
      <c r="E373" s="21" t="s">
        <v>357</v>
      </c>
      <c r="F373" s="21">
        <v>500</v>
      </c>
      <c r="G373" s="21">
        <v>50</v>
      </c>
      <c r="H373" s="21"/>
      <c r="I373" s="24">
        <f t="shared" si="8"/>
        <v>25000</v>
      </c>
      <c r="J373" s="21">
        <v>21</v>
      </c>
      <c r="K373" s="21">
        <v>4.0999999999999996</v>
      </c>
      <c r="L373" s="21">
        <v>7.6</v>
      </c>
      <c r="M373" s="21">
        <v>12</v>
      </c>
      <c r="N373" s="21"/>
    </row>
    <row r="374" spans="1:14" x14ac:dyDescent="0.2">
      <c r="A374" s="23">
        <v>46017</v>
      </c>
      <c r="B374" s="18" t="s">
        <v>40</v>
      </c>
      <c r="C374" s="21" t="s">
        <v>27</v>
      </c>
      <c r="D374" s="18">
        <v>3096</v>
      </c>
      <c r="E374" s="21" t="s">
        <v>353</v>
      </c>
      <c r="F374" s="21">
        <v>2000</v>
      </c>
      <c r="G374" s="21">
        <v>4</v>
      </c>
      <c r="H374" s="21">
        <v>1400</v>
      </c>
      <c r="I374" s="24">
        <f t="shared" si="8"/>
        <v>9400</v>
      </c>
      <c r="J374" s="21">
        <v>1.7</v>
      </c>
      <c r="K374" s="21">
        <v>4.5999999999999996</v>
      </c>
      <c r="L374" s="21"/>
      <c r="M374" s="21"/>
      <c r="N374" s="21"/>
    </row>
    <row r="375" spans="1:14" x14ac:dyDescent="0.2">
      <c r="A375" s="23">
        <v>46017</v>
      </c>
      <c r="B375" s="18" t="s">
        <v>40</v>
      </c>
      <c r="C375" s="21" t="s">
        <v>27</v>
      </c>
      <c r="D375" s="18">
        <v>3369</v>
      </c>
      <c r="E375" s="21" t="s">
        <v>358</v>
      </c>
      <c r="F375" s="21">
        <v>1000</v>
      </c>
      <c r="G375" s="21">
        <v>20</v>
      </c>
      <c r="H375" s="21"/>
      <c r="I375" s="24">
        <f t="shared" si="8"/>
        <v>20000</v>
      </c>
      <c r="J375" s="21">
        <v>3.2</v>
      </c>
      <c r="K375" s="21"/>
      <c r="L375" s="21">
        <v>3.8</v>
      </c>
      <c r="M375" s="21"/>
      <c r="N375" s="21"/>
    </row>
    <row r="376" spans="1:14" x14ac:dyDescent="0.2">
      <c r="A376" s="23">
        <v>46017</v>
      </c>
      <c r="B376" s="18" t="s">
        <v>40</v>
      </c>
      <c r="C376" s="21" t="s">
        <v>27</v>
      </c>
      <c r="D376" s="18">
        <v>3370</v>
      </c>
      <c r="E376" s="21" t="s">
        <v>359</v>
      </c>
      <c r="F376" s="21">
        <v>1000</v>
      </c>
      <c r="G376" s="21">
        <v>19</v>
      </c>
      <c r="H376" s="21">
        <v>200</v>
      </c>
      <c r="I376" s="24">
        <f t="shared" si="8"/>
        <v>19200</v>
      </c>
      <c r="J376" s="21">
        <v>3.1</v>
      </c>
      <c r="K376" s="21"/>
      <c r="L376" s="21"/>
      <c r="M376" s="21"/>
      <c r="N376" s="21"/>
    </row>
    <row r="377" spans="1:14" x14ac:dyDescent="0.2">
      <c r="A377" s="23">
        <v>46017</v>
      </c>
      <c r="B377" s="18" t="s">
        <v>40</v>
      </c>
      <c r="C377" s="21" t="s">
        <v>15</v>
      </c>
      <c r="D377" s="18">
        <v>3237</v>
      </c>
      <c r="E377" s="21" t="s">
        <v>346</v>
      </c>
      <c r="F377" s="21">
        <v>125</v>
      </c>
      <c r="G377" s="21">
        <v>17</v>
      </c>
      <c r="H377" s="21">
        <v>75</v>
      </c>
      <c r="I377" s="24">
        <f t="shared" si="8"/>
        <v>2200</v>
      </c>
      <c r="J377" s="21">
        <v>9.5</v>
      </c>
      <c r="K377" s="21"/>
      <c r="L377" s="21"/>
      <c r="M377" s="21"/>
      <c r="N377" s="21"/>
    </row>
    <row r="378" spans="1:14" x14ac:dyDescent="0.2">
      <c r="A378" s="23">
        <v>46017</v>
      </c>
      <c r="B378" s="18" t="s">
        <v>40</v>
      </c>
      <c r="C378" s="21" t="s">
        <v>15</v>
      </c>
      <c r="D378" s="18">
        <v>3238</v>
      </c>
      <c r="E378" s="21" t="s">
        <v>360</v>
      </c>
      <c r="F378" s="21">
        <v>150</v>
      </c>
      <c r="G378" s="21">
        <v>10</v>
      </c>
      <c r="H378" s="21">
        <v>125</v>
      </c>
      <c r="I378" s="24">
        <f t="shared" si="8"/>
        <v>1625</v>
      </c>
      <c r="J378" s="21">
        <v>15.4</v>
      </c>
      <c r="K378" s="21"/>
      <c r="L378" s="21"/>
      <c r="M378" s="21"/>
      <c r="N378" s="21" t="s">
        <v>361</v>
      </c>
    </row>
    <row r="379" spans="1:14" x14ac:dyDescent="0.2">
      <c r="A379" s="23">
        <v>46017</v>
      </c>
      <c r="B379" s="18" t="s">
        <v>40</v>
      </c>
      <c r="C379" s="21" t="s">
        <v>20</v>
      </c>
      <c r="D379" s="18">
        <v>3113</v>
      </c>
      <c r="E379" s="21" t="s">
        <v>351</v>
      </c>
      <c r="F379" s="21">
        <v>2500</v>
      </c>
      <c r="G379" s="21">
        <v>17</v>
      </c>
      <c r="H379" s="21">
        <v>2060</v>
      </c>
      <c r="I379" s="24">
        <f t="shared" si="8"/>
        <v>44560</v>
      </c>
      <c r="J379" s="21">
        <v>5.5</v>
      </c>
      <c r="K379" s="21"/>
      <c r="L379" s="21"/>
      <c r="M379" s="21"/>
      <c r="N379" s="21"/>
    </row>
    <row r="380" spans="1:14" x14ac:dyDescent="0.2">
      <c r="A380" s="23">
        <v>46017</v>
      </c>
      <c r="B380" s="18" t="s">
        <v>40</v>
      </c>
      <c r="C380" s="21" t="s">
        <v>20</v>
      </c>
      <c r="D380" s="18">
        <v>3308</v>
      </c>
      <c r="E380" s="21" t="s">
        <v>128</v>
      </c>
      <c r="F380" s="21">
        <v>1200</v>
      </c>
      <c r="G380" s="21">
        <v>39</v>
      </c>
      <c r="H380" s="21"/>
      <c r="I380" s="24">
        <f t="shared" si="8"/>
        <v>46800</v>
      </c>
      <c r="J380" s="21">
        <v>0.8</v>
      </c>
      <c r="K380" s="21"/>
      <c r="L380" s="21"/>
      <c r="M380" s="21"/>
      <c r="N380" s="21"/>
    </row>
    <row r="381" spans="1:14" x14ac:dyDescent="0.2">
      <c r="A381" s="23">
        <v>46017</v>
      </c>
      <c r="B381" s="18" t="s">
        <v>40</v>
      </c>
      <c r="C381" s="21" t="s">
        <v>15</v>
      </c>
      <c r="D381" s="18">
        <v>3238</v>
      </c>
      <c r="E381" s="21" t="s">
        <v>347</v>
      </c>
      <c r="F381" s="21">
        <v>125</v>
      </c>
      <c r="G381" s="21">
        <v>57</v>
      </c>
      <c r="H381" s="21"/>
      <c r="I381" s="24">
        <f t="shared" si="8"/>
        <v>7125</v>
      </c>
      <c r="J381" s="21"/>
      <c r="K381" s="21"/>
      <c r="L381" s="21"/>
      <c r="M381" s="21"/>
      <c r="N381" s="21"/>
    </row>
    <row r="382" spans="1:14" x14ac:dyDescent="0.2">
      <c r="A382" s="23">
        <v>46017</v>
      </c>
      <c r="B382" s="18" t="s">
        <v>40</v>
      </c>
      <c r="C382" s="21" t="s">
        <v>33</v>
      </c>
      <c r="D382" s="18">
        <v>3129</v>
      </c>
      <c r="E382" s="21" t="s">
        <v>356</v>
      </c>
      <c r="F382" s="21">
        <v>400</v>
      </c>
      <c r="G382" s="21">
        <v>34</v>
      </c>
      <c r="H382" s="21">
        <v>350</v>
      </c>
      <c r="I382" s="24">
        <f t="shared" si="8"/>
        <v>13950</v>
      </c>
      <c r="J382" s="21">
        <v>3.3</v>
      </c>
      <c r="K382" s="21">
        <v>4.0999999999999996</v>
      </c>
      <c r="L382" s="21"/>
      <c r="M382" s="21">
        <v>42.9</v>
      </c>
      <c r="N382" s="21"/>
    </row>
    <row r="383" spans="1:14" x14ac:dyDescent="0.2">
      <c r="A383" s="23">
        <v>46017</v>
      </c>
      <c r="B383" s="18" t="s">
        <v>40</v>
      </c>
      <c r="C383" s="21" t="s">
        <v>33</v>
      </c>
      <c r="D383" s="18">
        <v>3138</v>
      </c>
      <c r="E383" s="21" t="s">
        <v>362</v>
      </c>
      <c r="F383" s="21">
        <v>500</v>
      </c>
      <c r="G383" s="21">
        <v>28</v>
      </c>
      <c r="H383" s="21"/>
      <c r="I383" s="24">
        <f t="shared" si="8"/>
        <v>14000</v>
      </c>
      <c r="J383" s="21">
        <v>5</v>
      </c>
      <c r="K383" s="21">
        <v>4.9000000000000004</v>
      </c>
      <c r="L383" s="21">
        <v>36.1</v>
      </c>
      <c r="M383" s="21">
        <v>35.1</v>
      </c>
      <c r="N383" s="21"/>
    </row>
    <row r="384" spans="1:14" x14ac:dyDescent="0.2">
      <c r="A384" s="23">
        <v>46017</v>
      </c>
      <c r="B384" s="18" t="s">
        <v>40</v>
      </c>
      <c r="C384" s="21" t="s">
        <v>15</v>
      </c>
      <c r="D384" s="18">
        <v>3353</v>
      </c>
      <c r="E384" s="21" t="s">
        <v>363</v>
      </c>
      <c r="F384" s="21">
        <v>500</v>
      </c>
      <c r="G384" s="21">
        <v>22</v>
      </c>
      <c r="H384" s="21">
        <v>400</v>
      </c>
      <c r="I384" s="24">
        <f t="shared" si="8"/>
        <v>11400</v>
      </c>
      <c r="J384" s="21">
        <v>1.6</v>
      </c>
      <c r="K384" s="21"/>
      <c r="L384" s="21"/>
      <c r="M384" s="21"/>
      <c r="N384" s="21" t="s">
        <v>364</v>
      </c>
    </row>
    <row r="385" spans="1:14" x14ac:dyDescent="0.2">
      <c r="A385" s="23">
        <v>46017</v>
      </c>
      <c r="B385" s="18" t="s">
        <v>40</v>
      </c>
      <c r="C385" s="21" t="s">
        <v>33</v>
      </c>
      <c r="D385" s="18">
        <v>3221</v>
      </c>
      <c r="E385" s="21" t="s">
        <v>365</v>
      </c>
      <c r="F385" s="21">
        <v>500</v>
      </c>
      <c r="G385" s="21">
        <v>51</v>
      </c>
      <c r="H385" s="21">
        <v>95</v>
      </c>
      <c r="I385" s="24">
        <f t="shared" si="8"/>
        <v>25595</v>
      </c>
      <c r="J385" s="21">
        <v>5.3</v>
      </c>
      <c r="K385" s="21">
        <v>5</v>
      </c>
      <c r="L385" s="21"/>
      <c r="M385" s="21">
        <v>46.7</v>
      </c>
      <c r="N385" s="21"/>
    </row>
    <row r="386" spans="1:14" x14ac:dyDescent="0.2">
      <c r="A386" s="23">
        <v>46017</v>
      </c>
      <c r="B386" s="18" t="s">
        <v>40</v>
      </c>
      <c r="C386" s="21" t="s">
        <v>33</v>
      </c>
      <c r="D386" s="18">
        <v>3220</v>
      </c>
      <c r="E386" s="21" t="s">
        <v>366</v>
      </c>
      <c r="F386" s="21">
        <v>500</v>
      </c>
      <c r="G386" s="21">
        <v>23</v>
      </c>
      <c r="H386" s="21"/>
      <c r="I386" s="24">
        <f t="shared" si="8"/>
        <v>11500</v>
      </c>
      <c r="J386" s="21">
        <v>7</v>
      </c>
      <c r="K386" s="21">
        <v>3.4</v>
      </c>
      <c r="L386" s="21"/>
      <c r="M386" s="21">
        <v>39.4</v>
      </c>
      <c r="N386" s="21"/>
    </row>
    <row r="387" spans="1:14" x14ac:dyDescent="0.2">
      <c r="A387" s="23">
        <v>46017</v>
      </c>
      <c r="B387" s="18" t="s">
        <v>40</v>
      </c>
      <c r="C387" s="21" t="s">
        <v>24</v>
      </c>
      <c r="D387" s="18">
        <v>3178</v>
      </c>
      <c r="E387" s="21" t="s">
        <v>367</v>
      </c>
      <c r="F387" s="21">
        <v>500</v>
      </c>
      <c r="G387" s="21">
        <v>32</v>
      </c>
      <c r="H387" s="21"/>
      <c r="I387" s="24">
        <f t="shared" si="8"/>
        <v>16000</v>
      </c>
      <c r="J387" s="21">
        <v>2</v>
      </c>
      <c r="K387" s="21">
        <v>3.5</v>
      </c>
      <c r="L387" s="21"/>
      <c r="M387" s="21">
        <v>2.2000000000000002</v>
      </c>
      <c r="N387" s="21"/>
    </row>
    <row r="388" spans="1:14" x14ac:dyDescent="0.2">
      <c r="A388" s="23">
        <v>46017</v>
      </c>
      <c r="B388" s="18" t="s">
        <v>40</v>
      </c>
      <c r="C388" s="21" t="s">
        <v>27</v>
      </c>
      <c r="D388" s="18">
        <v>3213</v>
      </c>
      <c r="E388" s="21" t="s">
        <v>367</v>
      </c>
      <c r="F388" s="21">
        <v>500</v>
      </c>
      <c r="G388" s="21">
        <v>14</v>
      </c>
      <c r="H388" s="21"/>
      <c r="I388" s="24">
        <f t="shared" si="8"/>
        <v>7000</v>
      </c>
      <c r="J388" s="21">
        <v>3.5</v>
      </c>
      <c r="K388" s="21">
        <v>0.8</v>
      </c>
      <c r="L388" s="21"/>
      <c r="M388" s="21"/>
      <c r="N388" s="21"/>
    </row>
    <row r="389" spans="1:14" x14ac:dyDescent="0.2">
      <c r="A389" s="23">
        <v>46018</v>
      </c>
      <c r="B389" s="18" t="s">
        <v>54</v>
      </c>
      <c r="C389" s="21" t="s">
        <v>15</v>
      </c>
      <c r="D389" s="18">
        <v>3277</v>
      </c>
      <c r="E389" s="21" t="s">
        <v>368</v>
      </c>
      <c r="F389" s="21">
        <v>2000</v>
      </c>
      <c r="G389" s="21">
        <v>17</v>
      </c>
      <c r="H389" s="21">
        <v>700</v>
      </c>
      <c r="I389" s="24">
        <f t="shared" si="8"/>
        <v>34700</v>
      </c>
      <c r="J389" s="21">
        <v>5.6</v>
      </c>
      <c r="K389" s="21"/>
      <c r="L389" s="21"/>
      <c r="M389" s="21">
        <v>1.3</v>
      </c>
      <c r="N389" s="21"/>
    </row>
    <row r="390" spans="1:14" x14ac:dyDescent="0.2">
      <c r="A390" s="23">
        <v>46018</v>
      </c>
      <c r="B390" s="18" t="s">
        <v>54</v>
      </c>
      <c r="C390" s="21" t="s">
        <v>20</v>
      </c>
      <c r="D390" s="18">
        <v>3308</v>
      </c>
      <c r="E390" s="21" t="s">
        <v>128</v>
      </c>
      <c r="F390" s="21">
        <v>1200</v>
      </c>
      <c r="G390" s="21">
        <v>97</v>
      </c>
      <c r="H390" s="21"/>
      <c r="I390" s="24">
        <f t="shared" si="8"/>
        <v>116400</v>
      </c>
      <c r="J390" s="21">
        <v>4.2</v>
      </c>
      <c r="K390" s="21"/>
      <c r="L390" s="21"/>
      <c r="M390" s="21"/>
      <c r="N390" s="21"/>
    </row>
    <row r="391" spans="1:14" x14ac:dyDescent="0.2">
      <c r="A391" s="23">
        <v>46018</v>
      </c>
      <c r="B391" s="18" t="s">
        <v>54</v>
      </c>
      <c r="C391" s="21" t="s">
        <v>24</v>
      </c>
      <c r="D391" s="18">
        <v>3178</v>
      </c>
      <c r="E391" s="21" t="s">
        <v>367</v>
      </c>
      <c r="F391" s="21">
        <v>500</v>
      </c>
      <c r="G391" s="21">
        <v>110</v>
      </c>
      <c r="H391" s="21"/>
      <c r="I391" s="24">
        <f t="shared" si="8"/>
        <v>55000</v>
      </c>
      <c r="J391" s="21">
        <v>9.3000000000000007</v>
      </c>
      <c r="K391" s="21">
        <v>6.5</v>
      </c>
      <c r="L391" s="21"/>
      <c r="M391" s="21">
        <v>7.5</v>
      </c>
      <c r="N391" s="21"/>
    </row>
    <row r="392" spans="1:14" x14ac:dyDescent="0.2">
      <c r="A392" s="23">
        <v>46018</v>
      </c>
      <c r="B392" s="18" t="s">
        <v>54</v>
      </c>
      <c r="C392" s="21" t="s">
        <v>27</v>
      </c>
      <c r="D392" s="18">
        <v>3213</v>
      </c>
      <c r="E392" s="21" t="s">
        <v>367</v>
      </c>
      <c r="F392" s="21">
        <v>500</v>
      </c>
      <c r="G392" s="21">
        <v>123</v>
      </c>
      <c r="H392" s="21"/>
      <c r="I392" s="24">
        <f t="shared" si="8"/>
        <v>61500</v>
      </c>
      <c r="J392" s="21">
        <v>9.1</v>
      </c>
      <c r="K392" s="21">
        <v>9.6</v>
      </c>
      <c r="L392" s="21"/>
      <c r="M392" s="21">
        <v>1.2</v>
      </c>
      <c r="N392" s="21"/>
    </row>
    <row r="393" spans="1:14" x14ac:dyDescent="0.2">
      <c r="A393" s="23">
        <v>46018</v>
      </c>
      <c r="B393" s="18" t="s">
        <v>54</v>
      </c>
      <c r="C393" s="21" t="s">
        <v>33</v>
      </c>
      <c r="D393" s="18">
        <v>3220</v>
      </c>
      <c r="E393" s="21" t="s">
        <v>366</v>
      </c>
      <c r="F393" s="21">
        <v>500</v>
      </c>
      <c r="G393" s="21">
        <v>33</v>
      </c>
      <c r="H393" s="21">
        <v>270</v>
      </c>
      <c r="I393" s="24">
        <f t="shared" si="8"/>
        <v>16770</v>
      </c>
      <c r="J393" s="21">
        <v>4.5999999999999996</v>
      </c>
      <c r="K393" s="21">
        <v>7.4</v>
      </c>
      <c r="L393" s="21"/>
      <c r="M393" s="21">
        <v>70</v>
      </c>
      <c r="N393" s="21"/>
    </row>
    <row r="394" spans="1:14" x14ac:dyDescent="0.2">
      <c r="A394" s="23">
        <v>46018</v>
      </c>
      <c r="B394" s="18" t="s">
        <v>54</v>
      </c>
      <c r="C394" s="21" t="s">
        <v>33</v>
      </c>
      <c r="D394" s="18">
        <v>3117</v>
      </c>
      <c r="E394" s="21" t="s">
        <v>369</v>
      </c>
      <c r="F394" s="21">
        <v>700</v>
      </c>
      <c r="G394" s="21">
        <v>15</v>
      </c>
      <c r="H394" s="21">
        <v>300</v>
      </c>
      <c r="I394" s="24">
        <f t="shared" si="8"/>
        <v>10800</v>
      </c>
      <c r="J394" s="21">
        <v>1.2</v>
      </c>
      <c r="K394" s="21">
        <v>3.7</v>
      </c>
      <c r="L394" s="21"/>
      <c r="M394" s="21">
        <v>14.3</v>
      </c>
      <c r="N394" s="21"/>
    </row>
    <row r="395" spans="1:14" x14ac:dyDescent="0.2">
      <c r="A395" s="23">
        <v>46018</v>
      </c>
      <c r="B395" s="18" t="s">
        <v>54</v>
      </c>
      <c r="C395" s="21" t="s">
        <v>33</v>
      </c>
      <c r="D395" s="18">
        <v>3214</v>
      </c>
      <c r="E395" s="21" t="s">
        <v>370</v>
      </c>
      <c r="F395" s="21">
        <v>500</v>
      </c>
      <c r="G395" s="21">
        <v>72</v>
      </c>
      <c r="H395" s="21"/>
      <c r="I395" s="24">
        <f t="shared" si="8"/>
        <v>36000</v>
      </c>
      <c r="J395" s="21">
        <v>6.4</v>
      </c>
      <c r="K395" s="21">
        <v>7.2</v>
      </c>
      <c r="L395" s="21"/>
      <c r="M395" s="21">
        <v>100.2</v>
      </c>
      <c r="N395" s="21"/>
    </row>
    <row r="396" spans="1:14" x14ac:dyDescent="0.2">
      <c r="A396" s="23">
        <v>46018</v>
      </c>
      <c r="B396" s="18" t="s">
        <v>54</v>
      </c>
      <c r="C396" s="21" t="s">
        <v>15</v>
      </c>
      <c r="D396" s="18">
        <v>3322</v>
      </c>
      <c r="E396" s="21" t="s">
        <v>371</v>
      </c>
      <c r="F396" s="21">
        <v>75</v>
      </c>
      <c r="G396" s="21">
        <v>10</v>
      </c>
      <c r="H396" s="21">
        <v>70</v>
      </c>
      <c r="I396" s="24">
        <f t="shared" si="8"/>
        <v>820</v>
      </c>
      <c r="J396" s="21">
        <v>2.8</v>
      </c>
      <c r="K396" s="21"/>
      <c r="L396" s="21"/>
      <c r="M396" s="21"/>
      <c r="N396" s="21"/>
    </row>
    <row r="397" spans="1:14" x14ac:dyDescent="0.2">
      <c r="A397" s="23">
        <v>46018</v>
      </c>
      <c r="B397" s="18" t="s">
        <v>54</v>
      </c>
      <c r="C397" s="21" t="s">
        <v>15</v>
      </c>
      <c r="D397" s="18">
        <v>3299</v>
      </c>
      <c r="E397" s="21" t="s">
        <v>52</v>
      </c>
      <c r="F397" s="21">
        <v>500</v>
      </c>
      <c r="G397" s="21">
        <v>97</v>
      </c>
      <c r="H397" s="21">
        <v>125</v>
      </c>
      <c r="I397" s="24">
        <f t="shared" si="8"/>
        <v>48625</v>
      </c>
      <c r="J397" s="21"/>
      <c r="K397" s="21"/>
      <c r="L397" s="21"/>
      <c r="M397" s="21"/>
      <c r="N397" s="21"/>
    </row>
    <row r="398" spans="1:14" x14ac:dyDescent="0.2">
      <c r="A398" s="23">
        <v>46018</v>
      </c>
      <c r="B398" s="18" t="s">
        <v>54</v>
      </c>
      <c r="C398" s="21" t="s">
        <v>15</v>
      </c>
      <c r="D398" s="18">
        <v>3378</v>
      </c>
      <c r="E398" s="21" t="s">
        <v>372</v>
      </c>
      <c r="F398" s="21">
        <v>800</v>
      </c>
      <c r="G398" s="21">
        <v>8</v>
      </c>
      <c r="H398" s="21"/>
      <c r="I398" s="24">
        <f t="shared" si="8"/>
        <v>6400</v>
      </c>
      <c r="J398" s="21">
        <v>0.9</v>
      </c>
      <c r="K398" s="21"/>
      <c r="L398" s="21"/>
      <c r="M398" s="21"/>
      <c r="N398" s="21"/>
    </row>
    <row r="399" spans="1:14" x14ac:dyDescent="0.2">
      <c r="A399" s="23">
        <v>46019</v>
      </c>
      <c r="B399" s="18" t="s">
        <v>14</v>
      </c>
      <c r="C399" s="21" t="s">
        <v>15</v>
      </c>
      <c r="D399" s="18">
        <v>3378</v>
      </c>
      <c r="E399" s="21" t="s">
        <v>372</v>
      </c>
      <c r="F399" s="21">
        <v>800</v>
      </c>
      <c r="G399" s="21">
        <v>63</v>
      </c>
      <c r="H399" s="21">
        <v>200</v>
      </c>
      <c r="I399" s="24">
        <f t="shared" si="8"/>
        <v>50600</v>
      </c>
      <c r="J399" s="21">
        <v>7.9</v>
      </c>
      <c r="K399" s="21"/>
      <c r="L399" s="21"/>
      <c r="M399" s="21"/>
      <c r="N399" s="21"/>
    </row>
    <row r="400" spans="1:14" x14ac:dyDescent="0.2">
      <c r="A400" s="23">
        <v>46019</v>
      </c>
      <c r="B400" s="18" t="s">
        <v>14</v>
      </c>
      <c r="C400" s="21" t="s">
        <v>15</v>
      </c>
      <c r="D400" s="18">
        <v>3148</v>
      </c>
      <c r="E400" s="21" t="s">
        <v>373</v>
      </c>
      <c r="F400" s="21">
        <v>300</v>
      </c>
      <c r="G400" s="21">
        <v>8</v>
      </c>
      <c r="H400" s="21"/>
      <c r="I400" s="24">
        <f t="shared" si="8"/>
        <v>2400</v>
      </c>
      <c r="J400" s="21">
        <v>3.4</v>
      </c>
      <c r="K400" s="21"/>
      <c r="L400" s="21"/>
      <c r="M400" s="21"/>
      <c r="N400" s="21"/>
    </row>
    <row r="401" spans="1:14" x14ac:dyDescent="0.2">
      <c r="A401" s="23">
        <v>46019</v>
      </c>
      <c r="B401" s="18" t="s">
        <v>14</v>
      </c>
      <c r="C401" s="21" t="s">
        <v>20</v>
      </c>
      <c r="D401" s="18">
        <v>3308</v>
      </c>
      <c r="E401" s="21" t="s">
        <v>128</v>
      </c>
      <c r="F401" s="21">
        <v>1200</v>
      </c>
      <c r="G401" s="21">
        <v>29</v>
      </c>
      <c r="H401" s="21">
        <v>1000</v>
      </c>
      <c r="I401" s="24">
        <f t="shared" si="8"/>
        <v>35800</v>
      </c>
      <c r="J401" s="21">
        <v>0.7</v>
      </c>
      <c r="K401" s="21"/>
      <c r="L401" s="21"/>
      <c r="M401" s="21"/>
      <c r="N401" s="21"/>
    </row>
    <row r="402" spans="1:14" x14ac:dyDescent="0.2">
      <c r="A402" s="23">
        <v>46019</v>
      </c>
      <c r="B402" s="18" t="s">
        <v>14</v>
      </c>
      <c r="C402" s="21" t="s">
        <v>20</v>
      </c>
      <c r="D402" s="18">
        <v>3391</v>
      </c>
      <c r="E402" s="21" t="s">
        <v>374</v>
      </c>
      <c r="F402" s="21">
        <v>4000</v>
      </c>
      <c r="G402" s="21">
        <v>42</v>
      </c>
      <c r="H402" s="21"/>
      <c r="I402" s="24">
        <f t="shared" si="8"/>
        <v>168000</v>
      </c>
      <c r="J402" s="21">
        <v>1.8</v>
      </c>
      <c r="K402" s="21"/>
      <c r="L402" s="21"/>
      <c r="M402" s="21"/>
      <c r="N402" s="21"/>
    </row>
    <row r="403" spans="1:14" x14ac:dyDescent="0.2">
      <c r="A403" s="23">
        <v>46019</v>
      </c>
      <c r="B403" s="18" t="s">
        <v>14</v>
      </c>
      <c r="C403" s="21" t="s">
        <v>24</v>
      </c>
      <c r="D403" s="18">
        <v>3178</v>
      </c>
      <c r="E403" s="21" t="s">
        <v>367</v>
      </c>
      <c r="F403" s="21">
        <v>500</v>
      </c>
      <c r="G403" s="21">
        <v>23</v>
      </c>
      <c r="H403" s="21">
        <v>400</v>
      </c>
      <c r="I403" s="24">
        <f t="shared" si="8"/>
        <v>11900</v>
      </c>
      <c r="J403" s="21"/>
      <c r="K403" s="21">
        <v>5.9</v>
      </c>
      <c r="L403" s="21"/>
      <c r="M403" s="21">
        <v>1.7</v>
      </c>
      <c r="N403" s="21"/>
    </row>
    <row r="404" spans="1:14" x14ac:dyDescent="0.2">
      <c r="A404" s="23">
        <v>46019</v>
      </c>
      <c r="B404" s="18" t="s">
        <v>14</v>
      </c>
      <c r="C404" s="21" t="s">
        <v>24</v>
      </c>
      <c r="D404" s="18">
        <v>3213</v>
      </c>
      <c r="E404" s="21" t="s">
        <v>367</v>
      </c>
      <c r="F404" s="21">
        <v>500</v>
      </c>
      <c r="G404" s="21">
        <v>27</v>
      </c>
      <c r="H404" s="21"/>
      <c r="I404" s="24">
        <f t="shared" si="8"/>
        <v>13500</v>
      </c>
      <c r="J404" s="21"/>
      <c r="K404" s="21">
        <v>2.7</v>
      </c>
      <c r="L404" s="21"/>
      <c r="M404" s="21">
        <v>2</v>
      </c>
      <c r="N404" s="21"/>
    </row>
    <row r="405" spans="1:14" x14ac:dyDescent="0.2">
      <c r="A405" s="23">
        <v>46019</v>
      </c>
      <c r="B405" s="18" t="s">
        <v>14</v>
      </c>
      <c r="C405" s="21" t="s">
        <v>24</v>
      </c>
      <c r="D405" s="18">
        <v>3365</v>
      </c>
      <c r="E405" s="21" t="s">
        <v>375</v>
      </c>
      <c r="F405" s="21">
        <v>2000</v>
      </c>
      <c r="G405" s="21">
        <v>12</v>
      </c>
      <c r="H405" s="21"/>
      <c r="I405" s="24">
        <f t="shared" si="8"/>
        <v>24000</v>
      </c>
      <c r="J405" s="21">
        <v>2.9</v>
      </c>
      <c r="K405" s="21"/>
      <c r="L405" s="21"/>
      <c r="M405" s="21"/>
      <c r="N405" s="21"/>
    </row>
    <row r="406" spans="1:14" x14ac:dyDescent="0.2">
      <c r="A406" s="23">
        <v>46019</v>
      </c>
      <c r="B406" s="18" t="s">
        <v>14</v>
      </c>
      <c r="C406" s="21" t="s">
        <v>27</v>
      </c>
      <c r="D406" s="18">
        <v>3213</v>
      </c>
      <c r="E406" s="21" t="s">
        <v>367</v>
      </c>
      <c r="F406" s="21">
        <v>500</v>
      </c>
      <c r="G406" s="21">
        <v>26</v>
      </c>
      <c r="H406" s="21"/>
      <c r="I406" s="24">
        <f t="shared" si="8"/>
        <v>13000</v>
      </c>
      <c r="J406" s="21">
        <v>4.7</v>
      </c>
      <c r="K406" s="21">
        <v>0.6</v>
      </c>
      <c r="L406" s="21"/>
      <c r="M406" s="21">
        <v>2.2000000000000002</v>
      </c>
      <c r="N406" s="21"/>
    </row>
    <row r="407" spans="1:14" x14ac:dyDescent="0.2">
      <c r="A407" s="23">
        <v>46019</v>
      </c>
      <c r="B407" s="18" t="s">
        <v>14</v>
      </c>
      <c r="C407" s="21" t="s">
        <v>27</v>
      </c>
      <c r="D407" s="18">
        <v>3363</v>
      </c>
      <c r="E407" s="21" t="s">
        <v>376</v>
      </c>
      <c r="F407" s="21">
        <v>4000</v>
      </c>
      <c r="G407" s="21">
        <v>15</v>
      </c>
      <c r="H407" s="21">
        <v>3000</v>
      </c>
      <c r="I407" s="24">
        <f t="shared" si="8"/>
        <v>63000</v>
      </c>
      <c r="J407" s="21">
        <v>4.9000000000000004</v>
      </c>
      <c r="K407" s="21"/>
      <c r="L407" s="21"/>
      <c r="M407" s="21"/>
      <c r="N407" s="21"/>
    </row>
    <row r="408" spans="1:14" x14ac:dyDescent="0.2">
      <c r="A408" s="23">
        <v>46019</v>
      </c>
      <c r="B408" s="18" t="s">
        <v>14</v>
      </c>
      <c r="C408" s="21" t="s">
        <v>33</v>
      </c>
      <c r="D408" s="18">
        <v>3214</v>
      </c>
      <c r="E408" s="21" t="s">
        <v>370</v>
      </c>
      <c r="F408" s="21">
        <v>500</v>
      </c>
      <c r="G408" s="21">
        <v>121</v>
      </c>
      <c r="H408" s="21"/>
      <c r="I408" s="24">
        <f t="shared" si="8"/>
        <v>60500</v>
      </c>
      <c r="J408" s="21">
        <v>15.4</v>
      </c>
      <c r="K408" s="21">
        <v>26.4</v>
      </c>
      <c r="L408" s="21">
        <v>45</v>
      </c>
      <c r="M408" s="21">
        <v>181.4</v>
      </c>
      <c r="N408" s="21"/>
    </row>
    <row r="409" spans="1:14" x14ac:dyDescent="0.2">
      <c r="A409" s="23">
        <v>46020</v>
      </c>
      <c r="B409" s="18" t="s">
        <v>40</v>
      </c>
      <c r="C409" s="21" t="s">
        <v>27</v>
      </c>
      <c r="D409" s="18">
        <v>3365</v>
      </c>
      <c r="E409" s="21" t="s">
        <v>375</v>
      </c>
      <c r="F409" s="21">
        <v>2000</v>
      </c>
      <c r="G409" s="21">
        <v>15</v>
      </c>
      <c r="H409" s="21">
        <v>1300</v>
      </c>
      <c r="I409" s="24">
        <f t="shared" si="8"/>
        <v>31300</v>
      </c>
      <c r="J409" s="21">
        <v>1.6</v>
      </c>
      <c r="K409" s="21">
        <v>1.9</v>
      </c>
      <c r="L409" s="21"/>
      <c r="M409" s="21"/>
      <c r="N409" s="21"/>
    </row>
    <row r="410" spans="1:14" x14ac:dyDescent="0.2">
      <c r="A410" s="23">
        <v>46020</v>
      </c>
      <c r="B410" s="18" t="s">
        <v>40</v>
      </c>
      <c r="C410" s="21" t="s">
        <v>15</v>
      </c>
      <c r="D410" s="18">
        <v>3148</v>
      </c>
      <c r="E410" s="21" t="s">
        <v>373</v>
      </c>
      <c r="F410" s="21">
        <v>300</v>
      </c>
      <c r="G410" s="21">
        <v>14</v>
      </c>
      <c r="H410" s="21">
        <v>250</v>
      </c>
      <c r="I410" s="24">
        <f t="shared" si="8"/>
        <v>4450</v>
      </c>
      <c r="J410" s="21">
        <v>1.1000000000000001</v>
      </c>
      <c r="K410" s="21"/>
      <c r="L410" s="21"/>
      <c r="M410" s="21"/>
      <c r="N410" s="21"/>
    </row>
    <row r="411" spans="1:14" x14ac:dyDescent="0.2">
      <c r="A411" s="23">
        <v>46020</v>
      </c>
      <c r="B411" s="18" t="s">
        <v>40</v>
      </c>
      <c r="C411" s="21" t="s">
        <v>20</v>
      </c>
      <c r="D411" s="18">
        <v>3391</v>
      </c>
      <c r="E411" s="21" t="s">
        <v>374</v>
      </c>
      <c r="F411" s="21">
        <v>4000</v>
      </c>
      <c r="G411" s="21">
        <v>27</v>
      </c>
      <c r="H411" s="21">
        <v>2750</v>
      </c>
      <c r="I411" s="24">
        <f t="shared" si="8"/>
        <v>110750</v>
      </c>
      <c r="J411" s="21">
        <v>1.7</v>
      </c>
      <c r="K411" s="21"/>
      <c r="L411" s="21"/>
      <c r="M411" s="21"/>
      <c r="N411" s="21"/>
    </row>
    <row r="412" spans="1:14" x14ac:dyDescent="0.2">
      <c r="A412" s="23">
        <v>46020</v>
      </c>
      <c r="B412" s="18" t="s">
        <v>40</v>
      </c>
      <c r="C412" s="21" t="s">
        <v>33</v>
      </c>
      <c r="D412" s="18">
        <v>3214</v>
      </c>
      <c r="E412" s="21" t="s">
        <v>370</v>
      </c>
      <c r="F412" s="21">
        <v>500</v>
      </c>
      <c r="G412" s="21">
        <v>97</v>
      </c>
      <c r="H412" s="21">
        <v>390</v>
      </c>
      <c r="I412" s="24">
        <f t="shared" si="8"/>
        <v>48890</v>
      </c>
      <c r="J412" s="21">
        <v>14.5</v>
      </c>
      <c r="K412" s="21">
        <v>18.399999999999999</v>
      </c>
      <c r="L412" s="21">
        <v>8.1</v>
      </c>
      <c r="M412" s="21">
        <v>147.30000000000001</v>
      </c>
      <c r="N412" s="21"/>
    </row>
    <row r="413" spans="1:14" x14ac:dyDescent="0.2">
      <c r="A413" s="23">
        <v>46020</v>
      </c>
      <c r="B413" s="18" t="s">
        <v>40</v>
      </c>
      <c r="C413" s="21" t="s">
        <v>24</v>
      </c>
      <c r="D413" s="18">
        <v>3408</v>
      </c>
      <c r="E413" s="21" t="s">
        <v>377</v>
      </c>
      <c r="F413" s="21">
        <v>1000</v>
      </c>
      <c r="G413" s="21">
        <v>39</v>
      </c>
      <c r="H413" s="21"/>
      <c r="I413" s="24">
        <f t="shared" si="8"/>
        <v>39000</v>
      </c>
      <c r="J413" s="21">
        <v>1.1000000000000001</v>
      </c>
      <c r="K413" s="21"/>
      <c r="L413" s="21"/>
      <c r="M413" s="21"/>
      <c r="N413" s="21"/>
    </row>
    <row r="414" spans="1:14" x14ac:dyDescent="0.2">
      <c r="A414" s="23">
        <v>46020</v>
      </c>
      <c r="B414" s="18" t="s">
        <v>40</v>
      </c>
      <c r="C414" s="21" t="s">
        <v>15</v>
      </c>
      <c r="D414" s="18">
        <v>3132</v>
      </c>
      <c r="E414" s="21" t="s">
        <v>344</v>
      </c>
      <c r="F414" s="21">
        <v>1500</v>
      </c>
      <c r="G414" s="21">
        <v>12</v>
      </c>
      <c r="H414" s="21">
        <v>1150</v>
      </c>
      <c r="I414" s="24">
        <f t="shared" si="8"/>
        <v>19150</v>
      </c>
      <c r="J414" s="21">
        <v>1.8</v>
      </c>
      <c r="K414" s="21"/>
      <c r="L414" s="21"/>
      <c r="M414" s="21"/>
      <c r="N414" s="21"/>
    </row>
    <row r="415" spans="1:14" x14ac:dyDescent="0.2">
      <c r="A415" s="23">
        <v>46020</v>
      </c>
      <c r="B415" s="18" t="s">
        <v>40</v>
      </c>
      <c r="C415" s="21" t="s">
        <v>15</v>
      </c>
      <c r="D415" s="18">
        <v>3068</v>
      </c>
      <c r="E415" s="21" t="s">
        <v>378</v>
      </c>
      <c r="F415" s="21">
        <v>250</v>
      </c>
      <c r="G415" s="21">
        <v>22</v>
      </c>
      <c r="H415" s="21">
        <v>100</v>
      </c>
      <c r="I415" s="24">
        <f t="shared" si="8"/>
        <v>5600</v>
      </c>
      <c r="J415" s="21">
        <v>1.8</v>
      </c>
      <c r="K415" s="21"/>
      <c r="L415" s="21"/>
      <c r="M415" s="21"/>
      <c r="N415" s="21"/>
    </row>
    <row r="416" spans="1:14" x14ac:dyDescent="0.2">
      <c r="A416" s="23">
        <v>46020</v>
      </c>
      <c r="B416" s="18" t="s">
        <v>40</v>
      </c>
      <c r="C416" s="21" t="s">
        <v>27</v>
      </c>
      <c r="D416" s="18">
        <v>3014</v>
      </c>
      <c r="E416" s="21" t="s">
        <v>218</v>
      </c>
      <c r="F416" s="21">
        <v>2000</v>
      </c>
      <c r="G416" s="21">
        <v>18</v>
      </c>
      <c r="H416" s="21"/>
      <c r="I416" s="24">
        <f t="shared" si="8"/>
        <v>36000</v>
      </c>
      <c r="J416" s="21">
        <v>0.8</v>
      </c>
      <c r="K416" s="21">
        <v>1.7</v>
      </c>
      <c r="L416" s="21">
        <v>1.1000000000000001</v>
      </c>
      <c r="M416" s="21">
        <v>2.9</v>
      </c>
      <c r="N416" s="21"/>
    </row>
    <row r="417" spans="1:14" x14ac:dyDescent="0.2">
      <c r="A417" s="23">
        <v>46020</v>
      </c>
      <c r="B417" s="18" t="s">
        <v>40</v>
      </c>
      <c r="C417" s="21" t="s">
        <v>24</v>
      </c>
      <c r="D417" s="18">
        <v>3407</v>
      </c>
      <c r="E417" s="21" t="s">
        <v>379</v>
      </c>
      <c r="F417" s="21">
        <v>5000</v>
      </c>
      <c r="G417" s="21">
        <v>4</v>
      </c>
      <c r="H417" s="21"/>
      <c r="I417" s="24">
        <f t="shared" si="8"/>
        <v>20000</v>
      </c>
      <c r="J417" s="21">
        <v>1</v>
      </c>
      <c r="K417" s="21"/>
      <c r="L417" s="21"/>
      <c r="M417" s="21"/>
      <c r="N417" s="21"/>
    </row>
    <row r="418" spans="1:14" x14ac:dyDescent="0.2">
      <c r="A418" s="23">
        <v>46020</v>
      </c>
      <c r="B418" s="18" t="s">
        <v>40</v>
      </c>
      <c r="C418" s="21" t="s">
        <v>20</v>
      </c>
      <c r="D418" s="18">
        <v>3428</v>
      </c>
      <c r="E418" s="21" t="s">
        <v>380</v>
      </c>
      <c r="F418" s="21">
        <v>5000</v>
      </c>
      <c r="G418" s="21">
        <v>10</v>
      </c>
      <c r="H418" s="21"/>
      <c r="I418" s="24">
        <f t="shared" si="8"/>
        <v>50000</v>
      </c>
      <c r="J418" s="21">
        <v>0.6</v>
      </c>
      <c r="K418" s="21"/>
      <c r="L418" s="21"/>
      <c r="M418" s="21"/>
      <c r="N418" s="21"/>
    </row>
    <row r="419" spans="1:14" x14ac:dyDescent="0.2">
      <c r="A419" s="23">
        <v>46020</v>
      </c>
      <c r="B419" s="18" t="s">
        <v>40</v>
      </c>
      <c r="C419" s="21" t="s">
        <v>33</v>
      </c>
      <c r="D419" s="18">
        <v>3170</v>
      </c>
      <c r="E419" s="21" t="s">
        <v>381</v>
      </c>
      <c r="F419" s="21">
        <v>500</v>
      </c>
      <c r="G419" s="21">
        <v>22</v>
      </c>
      <c r="H419" s="21"/>
      <c r="I419" s="24">
        <f t="shared" si="8"/>
        <v>11000</v>
      </c>
      <c r="J419" s="21">
        <v>3.4</v>
      </c>
      <c r="K419" s="21">
        <v>3</v>
      </c>
      <c r="L419" s="21"/>
      <c r="M419" s="21">
        <v>20.9</v>
      </c>
      <c r="N419" s="21"/>
    </row>
    <row r="420" spans="1:14" x14ac:dyDescent="0.2">
      <c r="A420" s="23">
        <v>46021</v>
      </c>
      <c r="B420" s="18" t="s">
        <v>54</v>
      </c>
      <c r="C420" s="21" t="s">
        <v>24</v>
      </c>
      <c r="D420" s="18">
        <v>3407</v>
      </c>
      <c r="E420" s="21" t="s">
        <v>379</v>
      </c>
      <c r="F420" s="21">
        <v>5000</v>
      </c>
      <c r="G420" s="21">
        <v>23</v>
      </c>
      <c r="H420" s="21">
        <v>1800</v>
      </c>
      <c r="I420" s="24">
        <f t="shared" si="8"/>
        <v>116800</v>
      </c>
      <c r="J420" s="21">
        <v>3.8</v>
      </c>
      <c r="K420" s="21"/>
      <c r="L420" s="21"/>
      <c r="M420" s="21"/>
      <c r="N420" s="21"/>
    </row>
    <row r="421" spans="1:14" x14ac:dyDescent="0.2">
      <c r="A421" s="23">
        <v>46021</v>
      </c>
      <c r="B421" s="18" t="s">
        <v>54</v>
      </c>
      <c r="C421" s="21" t="s">
        <v>27</v>
      </c>
      <c r="D421" s="18">
        <v>3014</v>
      </c>
      <c r="E421" s="21" t="s">
        <v>218</v>
      </c>
      <c r="F421" s="21">
        <v>2000</v>
      </c>
      <c r="G421" s="21">
        <v>12</v>
      </c>
      <c r="H421" s="21">
        <v>1700</v>
      </c>
      <c r="I421" s="24">
        <f t="shared" si="8"/>
        <v>25700</v>
      </c>
      <c r="J421" s="21">
        <v>2.4</v>
      </c>
      <c r="K421" s="21"/>
      <c r="L421" s="21"/>
      <c r="M421" s="21">
        <v>1.5</v>
      </c>
      <c r="N421" s="21"/>
    </row>
    <row r="422" spans="1:14" x14ac:dyDescent="0.2">
      <c r="A422" s="23">
        <v>46021</v>
      </c>
      <c r="B422" s="18" t="s">
        <v>54</v>
      </c>
      <c r="C422" s="21" t="s">
        <v>33</v>
      </c>
      <c r="D422" s="18">
        <v>3170</v>
      </c>
      <c r="E422" s="21" t="s">
        <v>381</v>
      </c>
      <c r="F422" s="21">
        <v>500</v>
      </c>
      <c r="G422" s="21">
        <v>14</v>
      </c>
      <c r="H422" s="21">
        <v>250</v>
      </c>
      <c r="I422" s="24">
        <f t="shared" si="8"/>
        <v>7250</v>
      </c>
      <c r="J422" s="21">
        <v>3.3</v>
      </c>
      <c r="K422" s="21">
        <v>3.3</v>
      </c>
      <c r="L422" s="21"/>
      <c r="M422" s="21">
        <v>15.2</v>
      </c>
      <c r="N422" s="21"/>
    </row>
    <row r="423" spans="1:14" x14ac:dyDescent="0.2">
      <c r="A423" s="23">
        <v>46021</v>
      </c>
      <c r="B423" s="18" t="s">
        <v>54</v>
      </c>
      <c r="C423" s="21" t="s">
        <v>20</v>
      </c>
      <c r="D423" s="18">
        <v>3428</v>
      </c>
      <c r="E423" s="21" t="s">
        <v>380</v>
      </c>
      <c r="F423" s="21">
        <v>5000</v>
      </c>
      <c r="G423" s="21">
        <v>7</v>
      </c>
      <c r="H423" s="21">
        <v>2600</v>
      </c>
      <c r="I423" s="24">
        <f t="shared" si="8"/>
        <v>37600</v>
      </c>
      <c r="J423" s="21">
        <v>0.2</v>
      </c>
      <c r="K423" s="21"/>
      <c r="L423" s="21"/>
      <c r="M423" s="21"/>
      <c r="N423" s="21"/>
    </row>
    <row r="424" spans="1:14" x14ac:dyDescent="0.2">
      <c r="A424" s="23">
        <v>46021</v>
      </c>
      <c r="B424" s="18" t="s">
        <v>54</v>
      </c>
      <c r="C424" s="21" t="s">
        <v>15</v>
      </c>
      <c r="D424" s="18">
        <v>3247</v>
      </c>
      <c r="E424" s="21" t="s">
        <v>44</v>
      </c>
      <c r="F424" s="21">
        <v>2000</v>
      </c>
      <c r="G424" s="21">
        <v>10</v>
      </c>
      <c r="H424" s="21"/>
      <c r="I424" s="24">
        <f t="shared" si="8"/>
        <v>20000</v>
      </c>
      <c r="J424" s="21">
        <v>3.6</v>
      </c>
      <c r="K424" s="21"/>
      <c r="L424" s="21"/>
      <c r="M424" s="21"/>
      <c r="N424" s="21"/>
    </row>
    <row r="425" spans="1:14" x14ac:dyDescent="0.2">
      <c r="A425" s="23">
        <v>46021</v>
      </c>
      <c r="B425" s="18" t="s">
        <v>54</v>
      </c>
      <c r="C425" s="21" t="s">
        <v>33</v>
      </c>
      <c r="D425" s="18">
        <v>3171</v>
      </c>
      <c r="E425" s="21" t="s">
        <v>382</v>
      </c>
      <c r="F425" s="21">
        <v>500</v>
      </c>
      <c r="G425" s="21">
        <v>21</v>
      </c>
      <c r="H425" s="21">
        <v>450</v>
      </c>
      <c r="I425" s="24">
        <f t="shared" si="8"/>
        <v>10950</v>
      </c>
      <c r="J425" s="21">
        <v>7.3</v>
      </c>
      <c r="K425" s="21">
        <v>6.4</v>
      </c>
      <c r="L425" s="21"/>
      <c r="M425" s="21">
        <v>40.5</v>
      </c>
      <c r="N425" s="21"/>
    </row>
    <row r="426" spans="1:14" x14ac:dyDescent="0.2">
      <c r="A426" s="23">
        <v>46021</v>
      </c>
      <c r="B426" s="18" t="s">
        <v>54</v>
      </c>
      <c r="C426" s="21" t="s">
        <v>33</v>
      </c>
      <c r="D426" s="18">
        <v>3168</v>
      </c>
      <c r="E426" s="21" t="s">
        <v>383</v>
      </c>
      <c r="F426" s="21">
        <v>500</v>
      </c>
      <c r="G426" s="21">
        <v>23</v>
      </c>
      <c r="H426" s="21">
        <v>220</v>
      </c>
      <c r="I426" s="24">
        <f t="shared" si="8"/>
        <v>11720</v>
      </c>
      <c r="J426" s="21">
        <v>2.7</v>
      </c>
      <c r="K426" s="21">
        <v>3.8</v>
      </c>
      <c r="L426" s="21"/>
      <c r="M426" s="21">
        <v>20.2</v>
      </c>
      <c r="N426" s="21"/>
    </row>
    <row r="427" spans="1:14" x14ac:dyDescent="0.2">
      <c r="A427" s="23">
        <v>46021</v>
      </c>
      <c r="B427" s="18" t="s">
        <v>54</v>
      </c>
      <c r="C427" s="21" t="s">
        <v>33</v>
      </c>
      <c r="D427" s="18">
        <v>3205</v>
      </c>
      <c r="E427" s="21" t="s">
        <v>384</v>
      </c>
      <c r="F427" s="21">
        <v>500</v>
      </c>
      <c r="G427" s="21">
        <v>69</v>
      </c>
      <c r="H427" s="21">
        <v>600</v>
      </c>
      <c r="I427" s="24">
        <f t="shared" si="8"/>
        <v>35100</v>
      </c>
      <c r="J427" s="21">
        <v>2.4</v>
      </c>
      <c r="K427" s="21">
        <v>10.3</v>
      </c>
      <c r="L427" s="21"/>
      <c r="M427" s="21">
        <v>69.599999999999994</v>
      </c>
      <c r="N427" s="21"/>
    </row>
    <row r="428" spans="1:14" x14ac:dyDescent="0.2">
      <c r="A428" s="23">
        <v>46021</v>
      </c>
      <c r="B428" s="18" t="s">
        <v>54</v>
      </c>
      <c r="C428" s="21" t="s">
        <v>20</v>
      </c>
      <c r="D428" s="18">
        <v>3426</v>
      </c>
      <c r="E428" s="21" t="s">
        <v>385</v>
      </c>
      <c r="F428" s="21">
        <v>5000</v>
      </c>
      <c r="G428" s="21">
        <v>10</v>
      </c>
      <c r="H428" s="21"/>
      <c r="I428" s="24">
        <f t="shared" si="8"/>
        <v>50000</v>
      </c>
      <c r="J428" s="21">
        <v>0.5</v>
      </c>
      <c r="K428" s="21"/>
      <c r="L428" s="21"/>
      <c r="M428" s="21"/>
      <c r="N428" s="21"/>
    </row>
    <row r="429" spans="1:14" x14ac:dyDescent="0.2">
      <c r="A429" s="23">
        <v>46021</v>
      </c>
      <c r="B429" s="18" t="s">
        <v>54</v>
      </c>
      <c r="C429" s="21" t="s">
        <v>27</v>
      </c>
      <c r="D429" s="18">
        <v>3384</v>
      </c>
      <c r="E429" s="21" t="s">
        <v>386</v>
      </c>
      <c r="F429" s="21">
        <v>4500</v>
      </c>
      <c r="G429" s="21">
        <v>17</v>
      </c>
      <c r="H429" s="21"/>
      <c r="I429" s="24">
        <f t="shared" si="8"/>
        <v>76500</v>
      </c>
      <c r="J429" s="21">
        <v>0.7</v>
      </c>
      <c r="K429" s="21"/>
      <c r="L429" s="21"/>
      <c r="M429" s="21"/>
      <c r="N429" s="21"/>
    </row>
    <row r="430" spans="1:14" x14ac:dyDescent="0.2">
      <c r="A430" s="23">
        <v>46021</v>
      </c>
      <c r="B430" s="18" t="s">
        <v>54</v>
      </c>
      <c r="C430" s="21" t="s">
        <v>20</v>
      </c>
      <c r="D430" s="18">
        <v>3212</v>
      </c>
      <c r="E430" s="21" t="s">
        <v>387</v>
      </c>
      <c r="F430" s="21">
        <v>500</v>
      </c>
      <c r="G430" s="21">
        <v>15</v>
      </c>
      <c r="H430" s="21"/>
      <c r="I430" s="24">
        <f t="shared" si="8"/>
        <v>7500</v>
      </c>
      <c r="J430" s="21">
        <v>4.7</v>
      </c>
      <c r="K430" s="21"/>
      <c r="L430" s="21"/>
      <c r="M430" s="21"/>
      <c r="N430" s="21"/>
    </row>
    <row r="431" spans="1:14" x14ac:dyDescent="0.2">
      <c r="A431" s="23">
        <v>46021</v>
      </c>
      <c r="B431" s="18" t="s">
        <v>54</v>
      </c>
      <c r="C431" s="21" t="s">
        <v>24</v>
      </c>
      <c r="D431" s="18">
        <v>3385</v>
      </c>
      <c r="E431" s="21" t="s">
        <v>388</v>
      </c>
      <c r="F431" s="21">
        <v>4000</v>
      </c>
      <c r="G431" s="21">
        <v>9</v>
      </c>
      <c r="H431" s="21"/>
      <c r="I431" s="24">
        <f t="shared" si="8"/>
        <v>36000</v>
      </c>
      <c r="J431" s="21">
        <v>0.7</v>
      </c>
      <c r="K431" s="21"/>
      <c r="L431" s="21"/>
      <c r="M431" s="21"/>
      <c r="N431" s="21"/>
    </row>
    <row r="432" spans="1:14" x14ac:dyDescent="0.2">
      <c r="A432" s="23">
        <v>46021</v>
      </c>
      <c r="B432" s="18" t="s">
        <v>54</v>
      </c>
      <c r="C432" s="21" t="s">
        <v>33</v>
      </c>
      <c r="D432" s="18">
        <v>3364</v>
      </c>
      <c r="E432" s="21" t="s">
        <v>142</v>
      </c>
      <c r="F432" s="21"/>
      <c r="G432" s="21"/>
      <c r="H432" s="21"/>
      <c r="I432" s="24">
        <f t="shared" si="8"/>
        <v>0</v>
      </c>
      <c r="J432" s="21"/>
      <c r="K432" s="21"/>
      <c r="L432" s="21"/>
      <c r="M432" s="21"/>
      <c r="N432" s="21"/>
    </row>
    <row r="433" spans="1:14" x14ac:dyDescent="0.2">
      <c r="A433" s="23">
        <v>46387</v>
      </c>
      <c r="B433" s="18" t="s">
        <v>14</v>
      </c>
      <c r="C433" s="21" t="s">
        <v>15</v>
      </c>
      <c r="D433" s="18">
        <v>3247</v>
      </c>
      <c r="E433" s="21" t="s">
        <v>44</v>
      </c>
      <c r="F433" s="21">
        <v>2000</v>
      </c>
      <c r="G433" s="21">
        <v>5</v>
      </c>
      <c r="H433" s="21"/>
      <c r="I433" s="24">
        <f t="shared" si="8"/>
        <v>10000</v>
      </c>
      <c r="J433" s="21">
        <v>3</v>
      </c>
      <c r="K433" s="21">
        <v>1.7</v>
      </c>
      <c r="L433" s="21"/>
      <c r="M433" s="21"/>
      <c r="N433" s="21" t="s">
        <v>389</v>
      </c>
    </row>
    <row r="434" spans="1:14" x14ac:dyDescent="0.2">
      <c r="A434" s="23">
        <v>46387</v>
      </c>
      <c r="B434" s="18" t="s">
        <v>14</v>
      </c>
      <c r="C434" s="21" t="s">
        <v>20</v>
      </c>
      <c r="D434" s="18">
        <v>3212</v>
      </c>
      <c r="E434" s="21" t="s">
        <v>387</v>
      </c>
      <c r="F434" s="21">
        <v>500</v>
      </c>
      <c r="G434" s="21">
        <v>30</v>
      </c>
      <c r="H434" s="21">
        <v>220</v>
      </c>
      <c r="I434" s="24">
        <f t="shared" si="8"/>
        <v>15220</v>
      </c>
      <c r="J434" s="21">
        <v>2.2000000000000002</v>
      </c>
      <c r="K434" s="21"/>
      <c r="L434" s="21"/>
      <c r="M434" s="21"/>
      <c r="N434" s="21"/>
    </row>
    <row r="435" spans="1:14" x14ac:dyDescent="0.2">
      <c r="A435" s="23">
        <v>46387</v>
      </c>
      <c r="B435" s="18" t="s">
        <v>14</v>
      </c>
      <c r="C435" s="21" t="s">
        <v>20</v>
      </c>
      <c r="D435" s="18">
        <v>3289</v>
      </c>
      <c r="E435" s="21" t="s">
        <v>390</v>
      </c>
      <c r="F435" s="21">
        <v>500</v>
      </c>
      <c r="G435" s="21">
        <v>3</v>
      </c>
      <c r="H435" s="21"/>
      <c r="I435" s="24">
        <f t="shared" si="8"/>
        <v>1500</v>
      </c>
      <c r="J435" s="21">
        <v>1.4</v>
      </c>
      <c r="K435" s="21"/>
      <c r="L435" s="21"/>
      <c r="M435" s="21"/>
      <c r="N435" s="21"/>
    </row>
    <row r="436" spans="1:14" x14ac:dyDescent="0.2">
      <c r="A436" s="23">
        <v>46387</v>
      </c>
      <c r="B436" s="18" t="s">
        <v>14</v>
      </c>
      <c r="C436" s="21" t="s">
        <v>33</v>
      </c>
      <c r="D436" s="18">
        <v>3364</v>
      </c>
      <c r="E436" s="21" t="s">
        <v>142</v>
      </c>
      <c r="F436" s="21">
        <v>500</v>
      </c>
      <c r="G436" s="21">
        <v>48</v>
      </c>
      <c r="H436" s="21"/>
      <c r="I436" s="24">
        <f t="shared" si="8"/>
        <v>24000</v>
      </c>
      <c r="J436" s="21">
        <v>7.3</v>
      </c>
      <c r="K436" s="21">
        <v>13</v>
      </c>
      <c r="L436" s="21"/>
      <c r="M436" s="21">
        <v>59.2</v>
      </c>
      <c r="N436" s="21"/>
    </row>
    <row r="437" spans="1:14" x14ac:dyDescent="0.2">
      <c r="A437" s="5"/>
      <c r="B437" s="5"/>
      <c r="C437" s="5"/>
      <c r="D437" s="5"/>
      <c r="E437" s="5"/>
      <c r="F437" s="5"/>
      <c r="G437" s="5"/>
      <c r="H437" s="5"/>
      <c r="I437" s="5">
        <f>SUM(I2:I436)</f>
        <v>9410701</v>
      </c>
      <c r="J437" s="5"/>
      <c r="K437" s="5"/>
      <c r="L437" s="5"/>
      <c r="M437" s="5"/>
      <c r="N437" s="5"/>
    </row>
    <row r="439" spans="1:14" x14ac:dyDescent="0.2">
      <c r="B439" s="25" t="s">
        <v>14</v>
      </c>
      <c r="C439" s="25">
        <f>2921895+295720</f>
        <v>3217615</v>
      </c>
    </row>
    <row r="440" spans="1:14" x14ac:dyDescent="0.2">
      <c r="B440" s="25" t="s">
        <v>40</v>
      </c>
      <c r="C440" s="25">
        <f>3349995+295720</f>
        <v>3645715</v>
      </c>
    </row>
    <row r="441" spans="1:14" x14ac:dyDescent="0.2">
      <c r="B441" s="25" t="s">
        <v>54</v>
      </c>
      <c r="C441" s="25">
        <v>2547371</v>
      </c>
    </row>
  </sheetData>
  <autoFilter ref="A1:N437" xr:uid="{00000000-0001-0000-0000-000000000000}"/>
  <conditionalFormatting sqref="D2:D436">
    <cfRule type="duplicateValues" dxfId="13" priority="4"/>
  </conditionalFormatting>
  <conditionalFormatting sqref="D438:D5009">
    <cfRule type="duplicateValues" dxfId="12" priority="3"/>
  </conditionalFormatting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B0FA-0A8B-4AE8-8899-9D9BB168C01A}">
  <sheetPr>
    <pageSetUpPr fitToPage="1"/>
  </sheetPr>
  <dimension ref="A1:P380"/>
  <sheetViews>
    <sheetView topLeftCell="C1" workbookViewId="0">
      <pane ySplit="1" topLeftCell="A30" activePane="bottomLeft" state="frozen"/>
      <selection activeCell="B1" sqref="B1"/>
      <selection pane="bottomLeft" activeCell="B1" sqref="B1"/>
    </sheetView>
  </sheetViews>
  <sheetFormatPr baseColWidth="10" defaultColWidth="8.83203125" defaultRowHeight="15" x14ac:dyDescent="0.2"/>
  <cols>
    <col min="2" max="2" width="11.6640625" bestFit="1" customWidth="1"/>
    <col min="3" max="3" width="9.6640625" customWidth="1"/>
    <col min="4" max="4" width="14.5" bestFit="1" customWidth="1"/>
    <col min="5" max="5" width="20.5" bestFit="1" customWidth="1"/>
    <col min="6" max="6" width="10.33203125" customWidth="1"/>
    <col min="7" max="7" width="11.1640625" customWidth="1"/>
    <col min="8" max="8" width="14.83203125" customWidth="1"/>
    <col min="12" max="13" width="10.33203125" bestFit="1" customWidth="1"/>
    <col min="15" max="15" width="10.33203125" bestFit="1" customWidth="1"/>
    <col min="16" max="16" width="33.6640625" bestFit="1" customWidth="1"/>
  </cols>
  <sheetData>
    <row r="1" spans="1:16" ht="48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391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392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ht="15" customHeight="1" x14ac:dyDescent="0.2">
      <c r="A2" s="4">
        <v>46025</v>
      </c>
      <c r="B2" s="1" t="s">
        <v>14</v>
      </c>
      <c r="C2" s="1" t="s">
        <v>15</v>
      </c>
      <c r="D2" s="1">
        <v>3247</v>
      </c>
      <c r="E2" s="1" t="s">
        <v>44</v>
      </c>
      <c r="F2" s="1"/>
      <c r="G2" s="1">
        <v>2000</v>
      </c>
      <c r="H2" s="1">
        <v>17</v>
      </c>
      <c r="I2" s="1"/>
      <c r="J2" s="8">
        <f>G2*H2+I2</f>
        <v>34000</v>
      </c>
      <c r="K2" s="26"/>
      <c r="L2" s="1">
        <v>9.5</v>
      </c>
      <c r="M2" s="1">
        <v>14.1</v>
      </c>
      <c r="N2" s="1"/>
      <c r="O2" s="1"/>
      <c r="P2" s="1"/>
    </row>
    <row r="3" spans="1:16" ht="15" customHeight="1" x14ac:dyDescent="0.2">
      <c r="A3" s="4">
        <v>46025</v>
      </c>
      <c r="B3" s="1" t="s">
        <v>14</v>
      </c>
      <c r="C3" s="1" t="s">
        <v>20</v>
      </c>
      <c r="D3" s="1">
        <v>3289</v>
      </c>
      <c r="E3" s="1" t="s">
        <v>390</v>
      </c>
      <c r="F3" s="1"/>
      <c r="G3" s="1">
        <v>500</v>
      </c>
      <c r="H3" s="1">
        <v>66</v>
      </c>
      <c r="I3" s="1"/>
      <c r="J3" s="8">
        <f t="shared" ref="J3:J66" si="0">G3*H3+I3</f>
        <v>33000</v>
      </c>
      <c r="K3" s="26"/>
      <c r="L3" s="1">
        <v>5.2</v>
      </c>
      <c r="M3" s="1"/>
      <c r="N3" s="1"/>
      <c r="O3" s="1"/>
      <c r="P3" s="1"/>
    </row>
    <row r="4" spans="1:16" ht="15" customHeight="1" x14ac:dyDescent="0.2">
      <c r="A4" s="4">
        <v>46025</v>
      </c>
      <c r="B4" s="1" t="s">
        <v>14</v>
      </c>
      <c r="C4" s="1" t="s">
        <v>20</v>
      </c>
      <c r="D4" s="1">
        <v>3410</v>
      </c>
      <c r="E4" s="1" t="s">
        <v>393</v>
      </c>
      <c r="F4" s="1"/>
      <c r="G4" s="1">
        <v>1000</v>
      </c>
      <c r="H4" s="1">
        <v>4</v>
      </c>
      <c r="I4" s="1"/>
      <c r="J4" s="8">
        <f t="shared" si="0"/>
        <v>4000</v>
      </c>
      <c r="K4" s="26"/>
      <c r="L4" s="1">
        <v>0.7</v>
      </c>
      <c r="M4" s="1"/>
      <c r="N4" s="1"/>
      <c r="O4" s="1"/>
      <c r="P4" s="1"/>
    </row>
    <row r="5" spans="1:16" ht="15" customHeight="1" x14ac:dyDescent="0.2">
      <c r="A5" s="4">
        <v>46025</v>
      </c>
      <c r="B5" s="1" t="s">
        <v>14</v>
      </c>
      <c r="C5" s="1" t="s">
        <v>24</v>
      </c>
      <c r="D5" s="1">
        <v>3291</v>
      </c>
      <c r="E5" s="1" t="s">
        <v>394</v>
      </c>
      <c r="F5" s="1"/>
      <c r="G5" s="1">
        <v>500</v>
      </c>
      <c r="H5" s="1">
        <v>10</v>
      </c>
      <c r="I5" s="1">
        <v>65</v>
      </c>
      <c r="J5" s="8">
        <f t="shared" si="0"/>
        <v>5065</v>
      </c>
      <c r="K5" s="26"/>
      <c r="L5" s="1">
        <v>5.7</v>
      </c>
      <c r="M5" s="1">
        <v>27.7</v>
      </c>
      <c r="N5" s="1"/>
      <c r="O5" s="1">
        <v>1.1000000000000001</v>
      </c>
      <c r="P5" s="1"/>
    </row>
    <row r="6" spans="1:16" ht="15" customHeight="1" x14ac:dyDescent="0.2">
      <c r="A6" s="4">
        <v>46025</v>
      </c>
      <c r="B6" s="1" t="s">
        <v>14</v>
      </c>
      <c r="C6" s="1" t="s">
        <v>24</v>
      </c>
      <c r="D6" s="1">
        <v>3127</v>
      </c>
      <c r="E6" s="1" t="s">
        <v>395</v>
      </c>
      <c r="F6" s="1"/>
      <c r="G6" s="1">
        <v>2000</v>
      </c>
      <c r="H6" s="1">
        <v>3</v>
      </c>
      <c r="I6" s="1"/>
      <c r="J6" s="8">
        <f t="shared" si="0"/>
        <v>6000</v>
      </c>
      <c r="K6" s="26"/>
      <c r="L6" s="1">
        <v>0.5</v>
      </c>
      <c r="M6" s="1"/>
      <c r="N6" s="1"/>
      <c r="O6" s="1"/>
      <c r="P6" s="1"/>
    </row>
    <row r="7" spans="1:16" ht="15" customHeight="1" x14ac:dyDescent="0.2">
      <c r="A7" s="4">
        <v>46025</v>
      </c>
      <c r="B7" s="1" t="s">
        <v>14</v>
      </c>
      <c r="C7" s="1" t="s">
        <v>24</v>
      </c>
      <c r="D7" s="1">
        <v>3390</v>
      </c>
      <c r="E7" s="1" t="s">
        <v>396</v>
      </c>
      <c r="F7" s="1"/>
      <c r="G7" s="1">
        <v>2000</v>
      </c>
      <c r="H7" s="1">
        <v>41</v>
      </c>
      <c r="I7" s="1"/>
      <c r="J7" s="8">
        <f t="shared" si="0"/>
        <v>82000</v>
      </c>
      <c r="K7" s="26"/>
      <c r="L7" s="1">
        <v>0.3</v>
      </c>
      <c r="M7" s="1"/>
      <c r="N7" s="1"/>
      <c r="O7" s="1"/>
      <c r="P7" s="1"/>
    </row>
    <row r="8" spans="1:16" ht="15" customHeight="1" x14ac:dyDescent="0.2">
      <c r="A8" s="4">
        <v>46025</v>
      </c>
      <c r="B8" s="1" t="s">
        <v>14</v>
      </c>
      <c r="C8" s="1" t="s">
        <v>27</v>
      </c>
      <c r="D8" s="1">
        <v>3384</v>
      </c>
      <c r="E8" s="1" t="s">
        <v>386</v>
      </c>
      <c r="F8" s="1"/>
      <c r="G8" s="1">
        <v>4500</v>
      </c>
      <c r="H8" s="1">
        <v>5</v>
      </c>
      <c r="I8" s="1">
        <v>1500</v>
      </c>
      <c r="J8" s="8">
        <f t="shared" si="0"/>
        <v>24000</v>
      </c>
      <c r="K8" s="26"/>
      <c r="L8" s="1">
        <v>0.8</v>
      </c>
      <c r="M8" s="1"/>
      <c r="N8" s="1"/>
      <c r="O8" s="1"/>
      <c r="P8" s="1"/>
    </row>
    <row r="9" spans="1:16" ht="15" customHeight="1" x14ac:dyDescent="0.2">
      <c r="A9" s="4">
        <v>46025</v>
      </c>
      <c r="B9" s="1" t="s">
        <v>14</v>
      </c>
      <c r="C9" s="1" t="s">
        <v>27</v>
      </c>
      <c r="D9" s="1">
        <v>3385</v>
      </c>
      <c r="E9" s="1" t="s">
        <v>388</v>
      </c>
      <c r="F9" s="1"/>
      <c r="G9" s="1">
        <v>4000</v>
      </c>
      <c r="H9" s="1">
        <v>4</v>
      </c>
      <c r="I9" s="1"/>
      <c r="J9" s="8">
        <f t="shared" si="0"/>
        <v>16000</v>
      </c>
      <c r="K9" s="26"/>
      <c r="L9" s="1">
        <v>3.1</v>
      </c>
      <c r="M9" s="1"/>
      <c r="N9" s="1"/>
      <c r="O9" s="1"/>
      <c r="P9" s="1"/>
    </row>
    <row r="10" spans="1:16" ht="15" customHeight="1" x14ac:dyDescent="0.2">
      <c r="A10" s="4">
        <v>46025</v>
      </c>
      <c r="B10" s="1" t="s">
        <v>14</v>
      </c>
      <c r="C10" s="1" t="s">
        <v>27</v>
      </c>
      <c r="D10" s="1">
        <v>3362</v>
      </c>
      <c r="E10" s="1" t="s">
        <v>397</v>
      </c>
      <c r="F10" s="1"/>
      <c r="G10" s="1">
        <v>3500</v>
      </c>
      <c r="H10" s="1">
        <v>12</v>
      </c>
      <c r="I10" s="1">
        <v>2000</v>
      </c>
      <c r="J10" s="8">
        <f t="shared" si="0"/>
        <v>44000</v>
      </c>
      <c r="K10" s="26"/>
      <c r="L10" s="1">
        <v>9.1</v>
      </c>
      <c r="M10" s="1"/>
      <c r="N10" s="1"/>
      <c r="O10" s="1"/>
      <c r="P10" s="1"/>
    </row>
    <row r="11" spans="1:16" ht="15" customHeight="1" x14ac:dyDescent="0.2">
      <c r="A11" s="4">
        <v>46025</v>
      </c>
      <c r="B11" s="1" t="s">
        <v>14</v>
      </c>
      <c r="C11" s="1" t="s">
        <v>27</v>
      </c>
      <c r="D11" s="1">
        <v>3127</v>
      </c>
      <c r="E11" s="1" t="s">
        <v>395</v>
      </c>
      <c r="F11" s="1"/>
      <c r="G11" s="1">
        <v>2000</v>
      </c>
      <c r="H11" s="1">
        <v>4</v>
      </c>
      <c r="I11" s="1"/>
      <c r="J11" s="8">
        <f t="shared" si="0"/>
        <v>8000</v>
      </c>
      <c r="K11" s="26"/>
      <c r="L11" s="1">
        <v>0.6</v>
      </c>
      <c r="M11" s="1"/>
      <c r="N11" s="1"/>
      <c r="O11" s="1"/>
      <c r="P11" s="1"/>
    </row>
    <row r="12" spans="1:16" ht="15" customHeight="1" x14ac:dyDescent="0.2">
      <c r="A12" s="4">
        <v>46025</v>
      </c>
      <c r="B12" s="1" t="s">
        <v>14</v>
      </c>
      <c r="C12" s="1" t="s">
        <v>33</v>
      </c>
      <c r="D12" s="1">
        <v>3364</v>
      </c>
      <c r="E12" s="1" t="s">
        <v>142</v>
      </c>
      <c r="F12" s="1"/>
      <c r="G12" s="1">
        <v>500</v>
      </c>
      <c r="H12" s="1">
        <v>23</v>
      </c>
      <c r="I12" s="1">
        <v>460</v>
      </c>
      <c r="J12" s="8">
        <f t="shared" si="0"/>
        <v>11960</v>
      </c>
      <c r="K12" s="26"/>
      <c r="L12" s="1">
        <v>5</v>
      </c>
      <c r="M12" s="1">
        <v>5.2</v>
      </c>
      <c r="N12" s="1"/>
      <c r="O12" s="1">
        <v>29.2</v>
      </c>
      <c r="P12" s="1"/>
    </row>
    <row r="13" spans="1:16" ht="15" customHeight="1" x14ac:dyDescent="0.2">
      <c r="A13" s="4">
        <v>46025</v>
      </c>
      <c r="B13" s="1" t="s">
        <v>14</v>
      </c>
      <c r="C13" s="1" t="s">
        <v>33</v>
      </c>
      <c r="D13" s="1">
        <v>3156</v>
      </c>
      <c r="E13" s="1" t="s">
        <v>398</v>
      </c>
      <c r="F13" s="1"/>
      <c r="G13" s="1">
        <v>300</v>
      </c>
      <c r="H13" s="1">
        <v>126</v>
      </c>
      <c r="I13" s="1"/>
      <c r="J13" s="8">
        <f t="shared" si="0"/>
        <v>37800</v>
      </c>
      <c r="K13" s="26"/>
      <c r="L13" s="1">
        <v>21</v>
      </c>
      <c r="M13" s="1">
        <v>40.700000000000003</v>
      </c>
      <c r="N13" s="1"/>
      <c r="O13" s="1">
        <v>129</v>
      </c>
      <c r="P13" s="1"/>
    </row>
    <row r="14" spans="1:16" ht="15" customHeight="1" x14ac:dyDescent="0.2">
      <c r="A14" s="4">
        <v>46026</v>
      </c>
      <c r="B14" s="1" t="s">
        <v>40</v>
      </c>
      <c r="C14" s="1" t="s">
        <v>24</v>
      </c>
      <c r="D14" s="1">
        <v>3390</v>
      </c>
      <c r="E14" s="1" t="s">
        <v>396</v>
      </c>
      <c r="F14" s="1"/>
      <c r="G14" s="1">
        <v>2000</v>
      </c>
      <c r="H14" s="1">
        <v>11</v>
      </c>
      <c r="I14" s="1">
        <v>1600</v>
      </c>
      <c r="J14" s="8">
        <f t="shared" si="0"/>
        <v>23600</v>
      </c>
      <c r="K14" s="26"/>
      <c r="L14" s="1">
        <v>1.5</v>
      </c>
      <c r="M14" s="1"/>
      <c r="N14" s="1">
        <v>4.8</v>
      </c>
      <c r="O14" s="1"/>
      <c r="P14" s="1"/>
    </row>
    <row r="15" spans="1:16" ht="15" customHeight="1" x14ac:dyDescent="0.2">
      <c r="A15" s="4">
        <v>46026</v>
      </c>
      <c r="B15" s="1" t="s">
        <v>40</v>
      </c>
      <c r="C15" s="1" t="s">
        <v>24</v>
      </c>
      <c r="D15" s="1">
        <v>3412</v>
      </c>
      <c r="E15" s="1" t="s">
        <v>399</v>
      </c>
      <c r="F15" s="1"/>
      <c r="G15" s="1">
        <v>2000</v>
      </c>
      <c r="H15" s="1">
        <v>38</v>
      </c>
      <c r="I15" s="1"/>
      <c r="J15" s="8">
        <f t="shared" si="0"/>
        <v>76000</v>
      </c>
      <c r="K15" s="26"/>
      <c r="L15" s="1">
        <v>1.1000000000000001</v>
      </c>
      <c r="M15" s="1"/>
      <c r="N15" s="1"/>
      <c r="O15" s="1"/>
      <c r="P15" s="1"/>
    </row>
    <row r="16" spans="1:16" ht="15" customHeight="1" x14ac:dyDescent="0.2">
      <c r="A16" s="4">
        <v>46026</v>
      </c>
      <c r="B16" s="1" t="s">
        <v>40</v>
      </c>
      <c r="C16" s="1" t="s">
        <v>27</v>
      </c>
      <c r="D16" s="1">
        <v>3127</v>
      </c>
      <c r="E16" s="1" t="s">
        <v>395</v>
      </c>
      <c r="F16" s="1"/>
      <c r="G16" s="1">
        <v>2000</v>
      </c>
      <c r="H16" s="1">
        <v>41</v>
      </c>
      <c r="I16" s="1"/>
      <c r="J16" s="8">
        <f t="shared" si="0"/>
        <v>82000</v>
      </c>
      <c r="K16" s="26"/>
      <c r="L16" s="1">
        <v>0.4</v>
      </c>
      <c r="M16" s="1">
        <v>1.9</v>
      </c>
      <c r="N16" s="1"/>
      <c r="O16" s="1"/>
      <c r="P16" s="1"/>
    </row>
    <row r="17" spans="1:16" ht="15" customHeight="1" x14ac:dyDescent="0.2">
      <c r="A17" s="4">
        <v>46026</v>
      </c>
      <c r="B17" s="1" t="s">
        <v>40</v>
      </c>
      <c r="C17" s="1" t="s">
        <v>20</v>
      </c>
      <c r="D17" s="1">
        <v>3410</v>
      </c>
      <c r="E17" s="1" t="s">
        <v>393</v>
      </c>
      <c r="F17" s="1"/>
      <c r="G17" s="1">
        <v>1000</v>
      </c>
      <c r="H17" s="1">
        <v>26</v>
      </c>
      <c r="I17" s="1">
        <v>300</v>
      </c>
      <c r="J17" s="8">
        <f t="shared" si="0"/>
        <v>26300</v>
      </c>
      <c r="K17" s="26"/>
      <c r="L17" s="1">
        <v>1.4</v>
      </c>
      <c r="M17" s="1"/>
      <c r="N17" s="1">
        <v>51.6</v>
      </c>
      <c r="O17" s="1"/>
      <c r="P17" s="1"/>
    </row>
    <row r="18" spans="1:16" ht="15" customHeight="1" x14ac:dyDescent="0.2">
      <c r="A18" s="4">
        <v>46026</v>
      </c>
      <c r="B18" s="1" t="s">
        <v>40</v>
      </c>
      <c r="C18" s="1" t="s">
        <v>20</v>
      </c>
      <c r="D18" s="1">
        <v>3147</v>
      </c>
      <c r="E18" s="1" t="s">
        <v>309</v>
      </c>
      <c r="F18" s="1"/>
      <c r="G18" s="1">
        <v>5000</v>
      </c>
      <c r="H18" s="1">
        <v>6</v>
      </c>
      <c r="I18" s="1"/>
      <c r="J18" s="8">
        <f t="shared" si="0"/>
        <v>30000</v>
      </c>
      <c r="K18" s="26"/>
      <c r="L18" s="1">
        <v>1.2</v>
      </c>
      <c r="M18" s="1"/>
      <c r="N18" s="1"/>
      <c r="O18" s="1"/>
      <c r="P18" s="1"/>
    </row>
    <row r="19" spans="1:16" ht="15" customHeight="1" x14ac:dyDescent="0.2">
      <c r="A19" s="4">
        <v>46026</v>
      </c>
      <c r="B19" s="1" t="s">
        <v>40</v>
      </c>
      <c r="C19" s="1" t="s">
        <v>15</v>
      </c>
      <c r="D19" s="1">
        <v>3247</v>
      </c>
      <c r="E19" s="1" t="s">
        <v>44</v>
      </c>
      <c r="F19" s="1"/>
      <c r="G19" s="1">
        <v>2100</v>
      </c>
      <c r="H19" s="1">
        <v>1</v>
      </c>
      <c r="I19" s="1"/>
      <c r="J19" s="8">
        <f t="shared" si="0"/>
        <v>2100</v>
      </c>
      <c r="K19" s="26"/>
      <c r="L19" s="1">
        <v>0.6</v>
      </c>
      <c r="M19" s="1"/>
      <c r="N19" s="1"/>
      <c r="O19" s="1"/>
      <c r="P19" s="1"/>
    </row>
    <row r="20" spans="1:16" ht="15" customHeight="1" x14ac:dyDescent="0.2">
      <c r="A20" s="4">
        <v>46026</v>
      </c>
      <c r="B20" s="1" t="s">
        <v>40</v>
      </c>
      <c r="C20" s="1" t="s">
        <v>15</v>
      </c>
      <c r="D20" s="1">
        <v>3240</v>
      </c>
      <c r="E20" s="1" t="s">
        <v>400</v>
      </c>
      <c r="F20" s="1"/>
      <c r="G20" s="1">
        <v>600</v>
      </c>
      <c r="H20" s="1">
        <v>18</v>
      </c>
      <c r="I20" s="1">
        <v>180</v>
      </c>
      <c r="J20" s="8">
        <f t="shared" si="0"/>
        <v>10980</v>
      </c>
      <c r="K20" s="26"/>
      <c r="L20" s="1">
        <v>3.7</v>
      </c>
      <c r="M20" s="1">
        <v>0.9</v>
      </c>
      <c r="N20" s="1"/>
      <c r="O20" s="1">
        <v>0.9</v>
      </c>
      <c r="P20" s="1"/>
    </row>
    <row r="21" spans="1:16" ht="15" customHeight="1" x14ac:dyDescent="0.2">
      <c r="A21" s="4">
        <v>46026</v>
      </c>
      <c r="B21" s="1" t="s">
        <v>40</v>
      </c>
      <c r="C21" s="1" t="s">
        <v>15</v>
      </c>
      <c r="D21" s="1">
        <v>3063</v>
      </c>
      <c r="E21" s="1" t="s">
        <v>94</v>
      </c>
      <c r="F21" s="1"/>
      <c r="G21" s="1">
        <v>300</v>
      </c>
      <c r="H21" s="1">
        <v>16</v>
      </c>
      <c r="I21" s="1"/>
      <c r="J21" s="8">
        <f t="shared" si="0"/>
        <v>4800</v>
      </c>
      <c r="K21" s="26"/>
      <c r="L21" s="1">
        <v>4.4000000000000004</v>
      </c>
      <c r="M21" s="1"/>
      <c r="N21" s="1"/>
      <c r="O21" s="1"/>
      <c r="P21" s="1"/>
    </row>
    <row r="22" spans="1:16" ht="15" customHeight="1" x14ac:dyDescent="0.2">
      <c r="A22" s="4">
        <v>46026</v>
      </c>
      <c r="B22" s="1" t="s">
        <v>40</v>
      </c>
      <c r="C22" s="1" t="s">
        <v>15</v>
      </c>
      <c r="D22" s="1">
        <v>2860</v>
      </c>
      <c r="E22" s="1" t="s">
        <v>401</v>
      </c>
      <c r="F22" s="1"/>
      <c r="G22" s="1">
        <v>250</v>
      </c>
      <c r="H22" s="1">
        <v>8</v>
      </c>
      <c r="I22" s="1">
        <v>110</v>
      </c>
      <c r="J22" s="8">
        <f t="shared" si="0"/>
        <v>2110</v>
      </c>
      <c r="K22" s="26"/>
      <c r="L22" s="1">
        <v>4.5999999999999996</v>
      </c>
      <c r="M22" s="1">
        <v>4.4000000000000004</v>
      </c>
      <c r="N22" s="1"/>
      <c r="O22" s="1"/>
      <c r="P22" s="1"/>
    </row>
    <row r="23" spans="1:16" ht="15" customHeight="1" x14ac:dyDescent="0.2">
      <c r="A23" s="4">
        <v>46026</v>
      </c>
      <c r="B23" s="1" t="s">
        <v>40</v>
      </c>
      <c r="C23" s="1" t="s">
        <v>33</v>
      </c>
      <c r="D23" s="1">
        <v>3156</v>
      </c>
      <c r="E23" s="1" t="s">
        <v>398</v>
      </c>
      <c r="F23" s="1"/>
      <c r="G23" s="1">
        <v>300</v>
      </c>
      <c r="H23" s="1">
        <v>30</v>
      </c>
      <c r="I23" s="1">
        <v>210</v>
      </c>
      <c r="J23" s="8">
        <f t="shared" si="0"/>
        <v>9210</v>
      </c>
      <c r="K23" s="26"/>
      <c r="L23" s="1">
        <v>2.2999999999999998</v>
      </c>
      <c r="M23" s="1">
        <v>6.4</v>
      </c>
      <c r="N23" s="1"/>
      <c r="O23" s="1">
        <v>31.5</v>
      </c>
      <c r="P23" s="1"/>
    </row>
    <row r="24" spans="1:16" x14ac:dyDescent="0.2">
      <c r="A24" s="4">
        <v>46026</v>
      </c>
      <c r="B24" s="1" t="s">
        <v>40</v>
      </c>
      <c r="C24" s="1" t="s">
        <v>33</v>
      </c>
      <c r="D24" s="1">
        <v>3366</v>
      </c>
      <c r="E24" s="1" t="s">
        <v>154</v>
      </c>
      <c r="F24" s="1"/>
      <c r="G24" s="1">
        <v>400</v>
      </c>
      <c r="H24" s="1">
        <v>60</v>
      </c>
      <c r="I24" s="1"/>
      <c r="J24" s="8">
        <f t="shared" si="0"/>
        <v>24000</v>
      </c>
      <c r="K24" s="26"/>
      <c r="L24" s="1">
        <v>5</v>
      </c>
      <c r="M24" s="1">
        <v>9.9</v>
      </c>
      <c r="N24" s="1"/>
      <c r="O24" s="1">
        <v>107.1</v>
      </c>
      <c r="P24" s="1"/>
    </row>
    <row r="25" spans="1:16" x14ac:dyDescent="0.2">
      <c r="A25" s="4">
        <v>46026</v>
      </c>
      <c r="B25" s="1" t="s">
        <v>40</v>
      </c>
      <c r="C25" s="1" t="s">
        <v>33</v>
      </c>
      <c r="D25" s="1">
        <v>3077</v>
      </c>
      <c r="E25" s="1" t="s">
        <v>402</v>
      </c>
      <c r="F25" s="1"/>
      <c r="G25" s="1">
        <v>500</v>
      </c>
      <c r="H25" s="1">
        <v>46</v>
      </c>
      <c r="I25" s="1"/>
      <c r="J25" s="8">
        <f t="shared" si="0"/>
        <v>23000</v>
      </c>
      <c r="K25" s="26"/>
      <c r="L25" s="1">
        <v>10.6</v>
      </c>
      <c r="M25" s="1">
        <v>19.399999999999999</v>
      </c>
      <c r="N25" s="1"/>
      <c r="O25" s="1">
        <v>74.400000000000006</v>
      </c>
      <c r="P25" s="1"/>
    </row>
    <row r="26" spans="1:16" x14ac:dyDescent="0.2">
      <c r="A26" s="4">
        <v>46026</v>
      </c>
      <c r="B26" s="1" t="s">
        <v>40</v>
      </c>
      <c r="C26" s="1" t="s">
        <v>15</v>
      </c>
      <c r="D26" s="1">
        <v>3246</v>
      </c>
      <c r="E26" s="1" t="s">
        <v>403</v>
      </c>
      <c r="F26" s="1"/>
      <c r="G26" s="1">
        <v>2000</v>
      </c>
      <c r="H26" s="1">
        <v>4</v>
      </c>
      <c r="I26" s="1"/>
      <c r="J26" s="8">
        <f t="shared" si="0"/>
        <v>8000</v>
      </c>
      <c r="K26" s="26"/>
      <c r="L26" s="1">
        <v>0.8</v>
      </c>
      <c r="M26" s="1"/>
      <c r="N26" s="1"/>
      <c r="O26" s="1"/>
      <c r="P26" s="1"/>
    </row>
    <row r="27" spans="1:16" x14ac:dyDescent="0.2">
      <c r="A27" s="4">
        <v>46027</v>
      </c>
      <c r="B27" s="1" t="s">
        <v>54</v>
      </c>
      <c r="C27" s="18" t="s">
        <v>24</v>
      </c>
      <c r="D27" s="18">
        <v>3412</v>
      </c>
      <c r="E27" s="18" t="s">
        <v>399</v>
      </c>
      <c r="F27" s="1"/>
      <c r="G27" s="18">
        <v>2000</v>
      </c>
      <c r="H27" s="18">
        <v>60</v>
      </c>
      <c r="I27" s="18"/>
      <c r="J27" s="8">
        <f t="shared" si="0"/>
        <v>120000</v>
      </c>
      <c r="K27" s="28"/>
      <c r="L27" s="18">
        <v>1.6</v>
      </c>
      <c r="M27" s="18"/>
      <c r="N27" s="18"/>
      <c r="O27" s="18"/>
      <c r="P27" s="18"/>
    </row>
    <row r="28" spans="1:16" ht="15" customHeight="1" x14ac:dyDescent="0.2">
      <c r="A28" s="4">
        <v>46027</v>
      </c>
      <c r="B28" s="1" t="s">
        <v>54</v>
      </c>
      <c r="C28" s="18" t="s">
        <v>27</v>
      </c>
      <c r="D28" s="18">
        <v>3127</v>
      </c>
      <c r="E28" s="18" t="s">
        <v>395</v>
      </c>
      <c r="F28" s="1"/>
      <c r="G28" s="18">
        <v>2000</v>
      </c>
      <c r="H28" s="18">
        <v>50</v>
      </c>
      <c r="I28" s="18"/>
      <c r="J28" s="8">
        <f t="shared" si="0"/>
        <v>100000</v>
      </c>
      <c r="K28" s="27"/>
      <c r="L28" s="18">
        <v>5.5</v>
      </c>
      <c r="M28" s="18"/>
      <c r="N28" s="18"/>
      <c r="O28" s="18"/>
      <c r="P28" s="18"/>
    </row>
    <row r="29" spans="1:16" x14ac:dyDescent="0.2">
      <c r="A29" s="4">
        <v>46027</v>
      </c>
      <c r="B29" s="1" t="s">
        <v>54</v>
      </c>
      <c r="C29" s="18" t="s">
        <v>15</v>
      </c>
      <c r="D29" s="18">
        <v>3246</v>
      </c>
      <c r="E29" s="18" t="s">
        <v>403</v>
      </c>
      <c r="F29" s="1"/>
      <c r="G29" s="18">
        <v>2000</v>
      </c>
      <c r="H29" s="18">
        <v>14</v>
      </c>
      <c r="I29" s="18"/>
      <c r="J29" s="8">
        <f t="shared" si="0"/>
        <v>28000</v>
      </c>
      <c r="K29" s="27"/>
      <c r="L29" s="18">
        <v>46115</v>
      </c>
      <c r="M29" s="18">
        <v>3.3</v>
      </c>
      <c r="N29" s="18"/>
      <c r="O29" s="18"/>
      <c r="P29" s="18"/>
    </row>
    <row r="30" spans="1:16" x14ac:dyDescent="0.2">
      <c r="A30" s="4">
        <v>46027</v>
      </c>
      <c r="B30" s="1" t="s">
        <v>54</v>
      </c>
      <c r="C30" s="18" t="s">
        <v>20</v>
      </c>
      <c r="D30" s="18">
        <v>3147</v>
      </c>
      <c r="E30" s="18" t="s">
        <v>309</v>
      </c>
      <c r="F30" s="1"/>
      <c r="G30" s="18">
        <v>5000</v>
      </c>
      <c r="H30" s="18">
        <v>4</v>
      </c>
      <c r="I30" s="18">
        <v>2400</v>
      </c>
      <c r="J30" s="9">
        <f t="shared" si="0"/>
        <v>22400</v>
      </c>
      <c r="K30" s="27"/>
      <c r="L30" s="18">
        <v>1</v>
      </c>
      <c r="M30" s="18"/>
      <c r="N30" s="18"/>
      <c r="O30" s="18"/>
      <c r="P30" s="18"/>
    </row>
    <row r="31" spans="1:16" x14ac:dyDescent="0.2">
      <c r="A31" s="4">
        <v>46027</v>
      </c>
      <c r="B31" s="1" t="s">
        <v>54</v>
      </c>
      <c r="C31" s="18" t="s">
        <v>33</v>
      </c>
      <c r="D31" s="18">
        <v>3366</v>
      </c>
      <c r="E31" s="18" t="s">
        <v>154</v>
      </c>
      <c r="F31" s="1"/>
      <c r="G31" s="18">
        <v>400</v>
      </c>
      <c r="H31" s="18">
        <v>67</v>
      </c>
      <c r="I31" s="18"/>
      <c r="J31" s="9">
        <f t="shared" si="0"/>
        <v>26800</v>
      </c>
      <c r="K31" s="27"/>
      <c r="L31" s="18">
        <v>22</v>
      </c>
      <c r="M31" s="18">
        <v>8.3000000000000007</v>
      </c>
      <c r="N31" s="18"/>
      <c r="O31" s="18">
        <v>118</v>
      </c>
      <c r="P31" s="18"/>
    </row>
    <row r="32" spans="1:16" x14ac:dyDescent="0.2">
      <c r="A32" s="4">
        <v>46027</v>
      </c>
      <c r="B32" s="1" t="s">
        <v>54</v>
      </c>
      <c r="C32" s="18" t="s">
        <v>33</v>
      </c>
      <c r="D32" s="18">
        <v>3361</v>
      </c>
      <c r="E32" s="18" t="s">
        <v>404</v>
      </c>
      <c r="F32" s="1"/>
      <c r="G32" s="18">
        <v>600</v>
      </c>
      <c r="H32" s="18">
        <v>71</v>
      </c>
      <c r="I32" s="18">
        <v>400</v>
      </c>
      <c r="J32" s="9">
        <f t="shared" si="0"/>
        <v>43000</v>
      </c>
      <c r="K32" s="27"/>
      <c r="L32" s="18">
        <v>8.8000000000000007</v>
      </c>
      <c r="M32" s="18">
        <v>6.5</v>
      </c>
      <c r="N32" s="18"/>
      <c r="O32" s="18">
        <v>90.3</v>
      </c>
      <c r="P32" s="18"/>
    </row>
    <row r="33" spans="1:16" x14ac:dyDescent="0.2">
      <c r="A33" s="4">
        <v>46027</v>
      </c>
      <c r="B33" s="1" t="s">
        <v>54</v>
      </c>
      <c r="C33" s="18" t="s">
        <v>20</v>
      </c>
      <c r="D33" s="18">
        <v>3262</v>
      </c>
      <c r="E33" s="18" t="s">
        <v>198</v>
      </c>
      <c r="F33" s="1"/>
      <c r="G33" s="18">
        <v>1500</v>
      </c>
      <c r="H33" s="18">
        <v>26</v>
      </c>
      <c r="I33" s="18"/>
      <c r="J33" s="9">
        <f t="shared" si="0"/>
        <v>39000</v>
      </c>
      <c r="K33" s="27"/>
      <c r="L33" s="18">
        <v>2.8</v>
      </c>
      <c r="M33" s="18"/>
      <c r="N33" s="18"/>
      <c r="O33" s="18"/>
      <c r="P33" s="18"/>
    </row>
    <row r="34" spans="1:16" x14ac:dyDescent="0.2">
      <c r="A34" s="4">
        <v>46027</v>
      </c>
      <c r="B34" s="1" t="s">
        <v>54</v>
      </c>
      <c r="C34" s="18" t="s">
        <v>20</v>
      </c>
      <c r="D34" s="18">
        <v>3125</v>
      </c>
      <c r="E34" s="18" t="s">
        <v>309</v>
      </c>
      <c r="F34" s="1"/>
      <c r="G34" s="18">
        <v>5000</v>
      </c>
      <c r="H34" s="18">
        <v>2</v>
      </c>
      <c r="I34" s="18">
        <v>400</v>
      </c>
      <c r="J34" s="9">
        <f t="shared" si="0"/>
        <v>10400</v>
      </c>
      <c r="K34" s="27"/>
      <c r="L34" s="18">
        <v>0.4</v>
      </c>
      <c r="M34" s="18"/>
      <c r="N34" s="18"/>
      <c r="O34" s="18"/>
      <c r="P34" s="18"/>
    </row>
    <row r="35" spans="1:16" x14ac:dyDescent="0.2">
      <c r="A35" s="4">
        <v>46027</v>
      </c>
      <c r="B35" s="1" t="s">
        <v>54</v>
      </c>
      <c r="C35" s="18" t="s">
        <v>33</v>
      </c>
      <c r="D35" s="18">
        <v>3287</v>
      </c>
      <c r="E35" s="18" t="s">
        <v>405</v>
      </c>
      <c r="F35" s="1"/>
      <c r="G35" s="18">
        <v>700</v>
      </c>
      <c r="H35" s="18">
        <v>5</v>
      </c>
      <c r="I35" s="18"/>
      <c r="J35" s="9">
        <f t="shared" si="0"/>
        <v>3500</v>
      </c>
      <c r="K35" s="27"/>
      <c r="L35" s="18">
        <v>3</v>
      </c>
      <c r="M35" s="18"/>
      <c r="N35" s="18"/>
      <c r="O35" s="18">
        <v>5.0999999999999996</v>
      </c>
      <c r="P35" s="18"/>
    </row>
    <row r="36" spans="1:16" x14ac:dyDescent="0.2">
      <c r="A36" s="4">
        <v>46028</v>
      </c>
      <c r="B36" s="1" t="s">
        <v>14</v>
      </c>
      <c r="C36" s="18" t="s">
        <v>15</v>
      </c>
      <c r="D36" s="18">
        <v>3246</v>
      </c>
      <c r="E36" s="18" t="s">
        <v>403</v>
      </c>
      <c r="F36" s="18">
        <v>16.5</v>
      </c>
      <c r="G36" s="18">
        <v>2000</v>
      </c>
      <c r="H36" s="18">
        <v>2</v>
      </c>
      <c r="I36" s="18"/>
      <c r="J36" s="9">
        <f t="shared" si="0"/>
        <v>4000</v>
      </c>
      <c r="K36" s="27">
        <f t="shared" ref="K36:K99" si="1">IFERROR(L36/(F36-O36)*100%,0)</f>
        <v>5.454545454545455E-2</v>
      </c>
      <c r="L36" s="18">
        <v>0.9</v>
      </c>
      <c r="M36" s="18"/>
      <c r="N36" s="18"/>
      <c r="O36" s="18"/>
      <c r="P36" s="18"/>
    </row>
    <row r="37" spans="1:16" x14ac:dyDescent="0.2">
      <c r="A37" s="4">
        <v>46028</v>
      </c>
      <c r="B37" s="1" t="s">
        <v>14</v>
      </c>
      <c r="C37" s="18" t="s">
        <v>15</v>
      </c>
      <c r="D37" s="18">
        <v>3383</v>
      </c>
      <c r="E37" s="18" t="s">
        <v>406</v>
      </c>
      <c r="F37" s="18">
        <v>126.2</v>
      </c>
      <c r="G37" s="18">
        <v>3000</v>
      </c>
      <c r="H37" s="18">
        <v>17</v>
      </c>
      <c r="I37" s="18"/>
      <c r="J37" s="9">
        <f t="shared" si="0"/>
        <v>51000</v>
      </c>
      <c r="K37" s="27">
        <f t="shared" si="1"/>
        <v>3.328050713153724E-2</v>
      </c>
      <c r="L37" s="18">
        <v>4.2</v>
      </c>
      <c r="M37" s="18"/>
      <c r="N37" s="18"/>
      <c r="O37" s="18"/>
      <c r="P37" s="18"/>
    </row>
    <row r="38" spans="1:16" x14ac:dyDescent="0.2">
      <c r="A38" s="4">
        <v>46028</v>
      </c>
      <c r="B38" s="1" t="s">
        <v>14</v>
      </c>
      <c r="C38" s="18" t="s">
        <v>20</v>
      </c>
      <c r="D38" s="18">
        <v>3262</v>
      </c>
      <c r="E38" s="18" t="s">
        <v>198</v>
      </c>
      <c r="F38" s="18">
        <v>163.30000000000001</v>
      </c>
      <c r="G38" s="18">
        <v>1500</v>
      </c>
      <c r="H38" s="18">
        <v>10</v>
      </c>
      <c r="I38" s="18">
        <v>300</v>
      </c>
      <c r="J38" s="9">
        <f t="shared" si="0"/>
        <v>15300</v>
      </c>
      <c r="K38" s="27">
        <f t="shared" si="1"/>
        <v>1.224739742804654E-3</v>
      </c>
      <c r="L38" s="18">
        <v>0.2</v>
      </c>
      <c r="M38" s="18"/>
      <c r="N38" s="18"/>
      <c r="O38" s="18"/>
      <c r="P38" s="18"/>
    </row>
    <row r="39" spans="1:16" x14ac:dyDescent="0.2">
      <c r="A39" s="4">
        <v>46028</v>
      </c>
      <c r="B39" s="1" t="s">
        <v>14</v>
      </c>
      <c r="C39" s="18" t="s">
        <v>20</v>
      </c>
      <c r="D39" s="18">
        <v>3125</v>
      </c>
      <c r="E39" s="18" t="s">
        <v>309</v>
      </c>
      <c r="F39" s="18">
        <v>82.6</v>
      </c>
      <c r="G39" s="18">
        <v>5000</v>
      </c>
      <c r="H39" s="18">
        <v>8</v>
      </c>
      <c r="I39" s="18">
        <v>300</v>
      </c>
      <c r="J39" s="9">
        <f t="shared" si="0"/>
        <v>40300</v>
      </c>
      <c r="K39" s="27">
        <f t="shared" si="1"/>
        <v>1.331719128329298E-2</v>
      </c>
      <c r="L39" s="18">
        <v>1.1000000000000001</v>
      </c>
      <c r="M39" s="18"/>
      <c r="N39" s="18"/>
      <c r="O39" s="18"/>
      <c r="P39" s="18"/>
    </row>
    <row r="40" spans="1:16" x14ac:dyDescent="0.2">
      <c r="A40" s="4">
        <v>46028</v>
      </c>
      <c r="B40" s="1" t="s">
        <v>14</v>
      </c>
      <c r="C40" s="18" t="s">
        <v>24</v>
      </c>
      <c r="D40" s="18">
        <v>3412</v>
      </c>
      <c r="E40" s="18" t="s">
        <v>399</v>
      </c>
      <c r="F40" s="18">
        <v>37.700000000000003</v>
      </c>
      <c r="G40" s="18">
        <v>2000</v>
      </c>
      <c r="H40" s="18">
        <v>5</v>
      </c>
      <c r="I40" s="18">
        <v>1600</v>
      </c>
      <c r="J40" s="9">
        <f t="shared" si="0"/>
        <v>11600</v>
      </c>
      <c r="K40" s="27">
        <f t="shared" si="1"/>
        <v>0</v>
      </c>
      <c r="L40" s="18"/>
      <c r="M40" s="18"/>
      <c r="N40" s="18"/>
      <c r="O40" s="18"/>
      <c r="P40" s="18"/>
    </row>
    <row r="41" spans="1:16" x14ac:dyDescent="0.2">
      <c r="A41" s="4">
        <v>46028</v>
      </c>
      <c r="B41" s="1" t="s">
        <v>14</v>
      </c>
      <c r="C41" s="18" t="s">
        <v>24</v>
      </c>
      <c r="D41" s="18">
        <v>3243</v>
      </c>
      <c r="E41" s="18" t="s">
        <v>407</v>
      </c>
      <c r="F41" s="18">
        <v>104.6</v>
      </c>
      <c r="G41" s="18">
        <v>3000</v>
      </c>
      <c r="H41" s="18">
        <v>16</v>
      </c>
      <c r="I41" s="18"/>
      <c r="J41" s="9">
        <f t="shared" si="0"/>
        <v>48000</v>
      </c>
      <c r="K41" s="27">
        <f t="shared" si="1"/>
        <v>2.0076481835564056E-2</v>
      </c>
      <c r="L41" s="18">
        <v>2.1</v>
      </c>
      <c r="M41" s="18"/>
      <c r="N41" s="18"/>
      <c r="O41" s="18"/>
      <c r="P41" s="18"/>
    </row>
    <row r="42" spans="1:16" x14ac:dyDescent="0.2">
      <c r="A42" s="4">
        <v>46028</v>
      </c>
      <c r="B42" s="1" t="s">
        <v>14</v>
      </c>
      <c r="C42" s="18" t="s">
        <v>27</v>
      </c>
      <c r="D42" s="18">
        <v>3127</v>
      </c>
      <c r="E42" s="18" t="s">
        <v>395</v>
      </c>
      <c r="F42" s="18">
        <v>201.4</v>
      </c>
      <c r="G42" s="18">
        <v>2000</v>
      </c>
      <c r="H42" s="18">
        <v>38</v>
      </c>
      <c r="I42" s="18"/>
      <c r="J42" s="9">
        <f t="shared" si="0"/>
        <v>76000</v>
      </c>
      <c r="K42" s="27">
        <f t="shared" si="1"/>
        <v>0</v>
      </c>
      <c r="L42" s="18"/>
      <c r="M42" s="18">
        <v>3.1</v>
      </c>
      <c r="N42" s="18"/>
      <c r="O42" s="18"/>
      <c r="P42" s="18"/>
    </row>
    <row r="43" spans="1:16" x14ac:dyDescent="0.2">
      <c r="A43" s="4">
        <v>46028</v>
      </c>
      <c r="B43" s="1" t="s">
        <v>14</v>
      </c>
      <c r="C43" s="18" t="s">
        <v>27</v>
      </c>
      <c r="D43" s="18">
        <v>3490</v>
      </c>
      <c r="E43" s="18" t="s">
        <v>408</v>
      </c>
      <c r="F43" s="18">
        <v>51.1</v>
      </c>
      <c r="G43" s="18">
        <v>2000</v>
      </c>
      <c r="H43" s="18">
        <v>5</v>
      </c>
      <c r="I43" s="18"/>
      <c r="J43" s="9">
        <f t="shared" si="0"/>
        <v>10000</v>
      </c>
      <c r="K43" s="27">
        <f t="shared" si="1"/>
        <v>3.3268101761252444E-2</v>
      </c>
      <c r="L43" s="18">
        <v>1.7</v>
      </c>
      <c r="M43" s="18"/>
      <c r="N43" s="18"/>
      <c r="O43" s="18"/>
      <c r="P43" s="18"/>
    </row>
    <row r="44" spans="1:16" x14ac:dyDescent="0.2">
      <c r="A44" s="4">
        <v>46028</v>
      </c>
      <c r="B44" s="1" t="s">
        <v>14</v>
      </c>
      <c r="C44" s="18" t="s">
        <v>33</v>
      </c>
      <c r="D44" s="18">
        <v>3287</v>
      </c>
      <c r="E44" s="18" t="s">
        <v>405</v>
      </c>
      <c r="F44" s="18">
        <v>824.4</v>
      </c>
      <c r="G44" s="18">
        <v>700</v>
      </c>
      <c r="H44" s="18">
        <v>94</v>
      </c>
      <c r="I44" s="18">
        <v>200</v>
      </c>
      <c r="J44" s="9">
        <f t="shared" si="0"/>
        <v>66000</v>
      </c>
      <c r="K44" s="27">
        <f t="shared" si="1"/>
        <v>1.3757755597518209E-2</v>
      </c>
      <c r="L44" s="18">
        <v>10.199999999999999</v>
      </c>
      <c r="M44" s="18">
        <v>12.7</v>
      </c>
      <c r="N44" s="18"/>
      <c r="O44" s="18">
        <v>83</v>
      </c>
      <c r="P44" s="18"/>
    </row>
    <row r="45" spans="1:16" x14ac:dyDescent="0.2">
      <c r="A45" s="4">
        <v>46028</v>
      </c>
      <c r="B45" s="1" t="s">
        <v>14</v>
      </c>
      <c r="C45" s="18" t="s">
        <v>33</v>
      </c>
      <c r="D45" s="18">
        <v>3222</v>
      </c>
      <c r="E45" s="18" t="s">
        <v>189</v>
      </c>
      <c r="F45" s="18">
        <v>205.1</v>
      </c>
      <c r="G45" s="18">
        <v>500</v>
      </c>
      <c r="H45" s="18">
        <v>22</v>
      </c>
      <c r="I45" s="18">
        <v>450</v>
      </c>
      <c r="J45" s="8">
        <f t="shared" si="0"/>
        <v>11450</v>
      </c>
      <c r="K45" s="27">
        <f t="shared" si="1"/>
        <v>1.6224986479177934E-2</v>
      </c>
      <c r="L45" s="18">
        <v>3</v>
      </c>
      <c r="M45" s="18">
        <v>3.3</v>
      </c>
      <c r="N45" s="18"/>
      <c r="O45" s="18">
        <v>20.2</v>
      </c>
      <c r="P45" s="18"/>
    </row>
    <row r="46" spans="1:16" x14ac:dyDescent="0.2">
      <c r="A46" s="4">
        <v>46028</v>
      </c>
      <c r="B46" s="1" t="s">
        <v>14</v>
      </c>
      <c r="C46" s="18" t="s">
        <v>33</v>
      </c>
      <c r="D46" s="18">
        <v>3340</v>
      </c>
      <c r="E46" s="18" t="s">
        <v>189</v>
      </c>
      <c r="F46" s="18">
        <v>31</v>
      </c>
      <c r="G46" s="18">
        <v>500</v>
      </c>
      <c r="H46" s="18">
        <v>4</v>
      </c>
      <c r="I46" s="18"/>
      <c r="J46" s="8">
        <f t="shared" si="0"/>
        <v>2000</v>
      </c>
      <c r="K46" s="27">
        <f t="shared" si="1"/>
        <v>5.281690140845071E-2</v>
      </c>
      <c r="L46" s="18">
        <v>1.5</v>
      </c>
      <c r="M46" s="18">
        <v>1</v>
      </c>
      <c r="N46" s="18"/>
      <c r="O46" s="18">
        <v>2.6</v>
      </c>
      <c r="P46" s="18"/>
    </row>
    <row r="47" spans="1:16" x14ac:dyDescent="0.2">
      <c r="A47" s="4">
        <v>46029</v>
      </c>
      <c r="B47" s="1" t="s">
        <v>40</v>
      </c>
      <c r="C47" s="18" t="s">
        <v>24</v>
      </c>
      <c r="D47" s="18">
        <v>3243</v>
      </c>
      <c r="E47" s="18" t="s">
        <v>407</v>
      </c>
      <c r="F47" s="18"/>
      <c r="G47" s="18">
        <v>3000</v>
      </c>
      <c r="H47" s="18">
        <v>3</v>
      </c>
      <c r="I47" s="18">
        <v>800</v>
      </c>
      <c r="J47" s="8">
        <f t="shared" si="0"/>
        <v>9800</v>
      </c>
      <c r="K47" s="27">
        <f t="shared" si="1"/>
        <v>0</v>
      </c>
      <c r="L47" s="18">
        <v>0.3</v>
      </c>
      <c r="M47" s="18"/>
      <c r="N47" s="18"/>
      <c r="O47" s="18"/>
      <c r="P47" s="18"/>
    </row>
    <row r="48" spans="1:16" x14ac:dyDescent="0.2">
      <c r="A48" s="4">
        <v>46029</v>
      </c>
      <c r="B48" s="1" t="s">
        <v>40</v>
      </c>
      <c r="C48" s="18" t="s">
        <v>24</v>
      </c>
      <c r="D48" s="18">
        <v>3490</v>
      </c>
      <c r="E48" s="18" t="s">
        <v>408</v>
      </c>
      <c r="F48" s="18">
        <v>257.39999999999998</v>
      </c>
      <c r="G48" s="18">
        <v>2000</v>
      </c>
      <c r="H48" s="18">
        <v>31</v>
      </c>
      <c r="I48" s="18"/>
      <c r="J48" s="8">
        <f t="shared" si="0"/>
        <v>62000</v>
      </c>
      <c r="K48" s="27">
        <f t="shared" si="1"/>
        <v>3.1080031080031084E-3</v>
      </c>
      <c r="L48" s="18">
        <v>0.8</v>
      </c>
      <c r="M48" s="18"/>
      <c r="N48" s="18"/>
      <c r="O48" s="18"/>
      <c r="P48" s="18"/>
    </row>
    <row r="49" spans="1:16" x14ac:dyDescent="0.2">
      <c r="A49" s="4">
        <v>46029</v>
      </c>
      <c r="B49" s="1" t="s">
        <v>40</v>
      </c>
      <c r="C49" s="18" t="s">
        <v>27</v>
      </c>
      <c r="D49" s="18">
        <v>3490</v>
      </c>
      <c r="E49" s="18" t="s">
        <v>408</v>
      </c>
      <c r="F49" s="18"/>
      <c r="G49" s="18">
        <v>2000</v>
      </c>
      <c r="H49" s="18">
        <v>1</v>
      </c>
      <c r="I49" s="18"/>
      <c r="J49" s="8">
        <f t="shared" si="0"/>
        <v>2000</v>
      </c>
      <c r="K49" s="27">
        <f t="shared" si="1"/>
        <v>0</v>
      </c>
      <c r="L49" s="18">
        <v>0.2</v>
      </c>
      <c r="M49" s="18"/>
      <c r="N49" s="18"/>
      <c r="O49" s="18"/>
      <c r="P49" s="18"/>
    </row>
    <row r="50" spans="1:16" x14ac:dyDescent="0.2">
      <c r="A50" s="4">
        <v>46029</v>
      </c>
      <c r="B50" s="1" t="s">
        <v>40</v>
      </c>
      <c r="C50" s="18" t="s">
        <v>27</v>
      </c>
      <c r="D50" s="18">
        <v>3244</v>
      </c>
      <c r="E50" s="18" t="s">
        <v>409</v>
      </c>
      <c r="F50" s="18">
        <v>172</v>
      </c>
      <c r="G50" s="18">
        <v>3000</v>
      </c>
      <c r="H50" s="18">
        <v>19</v>
      </c>
      <c r="I50" s="18">
        <v>2900</v>
      </c>
      <c r="J50" s="8">
        <f t="shared" si="0"/>
        <v>59900</v>
      </c>
      <c r="K50" s="27">
        <f t="shared" si="1"/>
        <v>5.2325581395348836E-3</v>
      </c>
      <c r="L50" s="18">
        <v>0.9</v>
      </c>
      <c r="M50" s="18">
        <v>2.9</v>
      </c>
      <c r="N50" s="18"/>
      <c r="O50" s="18"/>
      <c r="P50" s="18"/>
    </row>
    <row r="51" spans="1:16" x14ac:dyDescent="0.2">
      <c r="A51" s="4">
        <v>46029</v>
      </c>
      <c r="B51" s="1" t="s">
        <v>40</v>
      </c>
      <c r="C51" s="18" t="s">
        <v>27</v>
      </c>
      <c r="D51" s="18">
        <v>3127</v>
      </c>
      <c r="E51" s="18" t="s">
        <v>395</v>
      </c>
      <c r="F51" s="18">
        <v>38.5</v>
      </c>
      <c r="G51" s="18">
        <v>2000</v>
      </c>
      <c r="H51" s="18">
        <v>8</v>
      </c>
      <c r="I51" s="18"/>
      <c r="J51" s="8">
        <f t="shared" si="0"/>
        <v>16000</v>
      </c>
      <c r="K51" s="27">
        <f t="shared" si="1"/>
        <v>1.8181818181818181E-2</v>
      </c>
      <c r="L51" s="18">
        <v>0.7</v>
      </c>
      <c r="M51" s="18"/>
      <c r="N51" s="18"/>
      <c r="O51" s="18"/>
      <c r="P51" s="18"/>
    </row>
    <row r="52" spans="1:16" x14ac:dyDescent="0.2">
      <c r="A52" s="4">
        <v>46029</v>
      </c>
      <c r="B52" s="1" t="s">
        <v>40</v>
      </c>
      <c r="C52" s="18" t="s">
        <v>15</v>
      </c>
      <c r="D52" s="18">
        <v>3383</v>
      </c>
      <c r="E52" s="18" t="s">
        <v>406</v>
      </c>
      <c r="F52" s="18">
        <v>33</v>
      </c>
      <c r="G52" s="18">
        <v>3000</v>
      </c>
      <c r="H52" s="18">
        <v>1</v>
      </c>
      <c r="I52" s="18">
        <v>2000</v>
      </c>
      <c r="J52" s="8">
        <f t="shared" si="0"/>
        <v>5000</v>
      </c>
      <c r="K52" s="27">
        <f t="shared" si="1"/>
        <v>1.5151515151515152E-2</v>
      </c>
      <c r="L52" s="18">
        <v>0.5</v>
      </c>
      <c r="M52" s="18"/>
      <c r="N52" s="18"/>
      <c r="O52" s="18"/>
      <c r="P52" s="18"/>
    </row>
    <row r="53" spans="1:16" x14ac:dyDescent="0.2">
      <c r="A53" s="4">
        <v>46029</v>
      </c>
      <c r="B53" s="1" t="s">
        <v>40</v>
      </c>
      <c r="C53" s="18" t="s">
        <v>15</v>
      </c>
      <c r="D53" s="18">
        <v>3266</v>
      </c>
      <c r="E53" s="18" t="s">
        <v>410</v>
      </c>
      <c r="F53" s="18">
        <v>378.2</v>
      </c>
      <c r="G53" s="18">
        <v>700</v>
      </c>
      <c r="H53" s="18">
        <v>35</v>
      </c>
      <c r="I53" s="18">
        <v>450</v>
      </c>
      <c r="J53" s="8">
        <f t="shared" si="0"/>
        <v>24950</v>
      </c>
      <c r="K53" s="27">
        <f t="shared" si="1"/>
        <v>1.5864621893178213E-3</v>
      </c>
      <c r="L53" s="18">
        <v>0.6</v>
      </c>
      <c r="M53" s="18"/>
      <c r="N53" s="18"/>
      <c r="O53" s="18"/>
      <c r="P53" s="18"/>
    </row>
    <row r="54" spans="1:16" x14ac:dyDescent="0.2">
      <c r="A54" s="4">
        <v>46029</v>
      </c>
      <c r="B54" s="1" t="s">
        <v>40</v>
      </c>
      <c r="C54" s="18" t="s">
        <v>15</v>
      </c>
      <c r="D54" s="18">
        <v>3477</v>
      </c>
      <c r="E54" s="18" t="s">
        <v>411</v>
      </c>
      <c r="F54" s="18">
        <v>313.39999999999998</v>
      </c>
      <c r="G54" s="18">
        <v>500</v>
      </c>
      <c r="H54" s="18">
        <v>19</v>
      </c>
      <c r="I54" s="18">
        <v>450</v>
      </c>
      <c r="J54" s="8">
        <f t="shared" si="0"/>
        <v>9950</v>
      </c>
      <c r="K54" s="27">
        <f t="shared" si="1"/>
        <v>3.1908104658583281E-3</v>
      </c>
      <c r="L54" s="18">
        <v>1</v>
      </c>
      <c r="M54" s="18"/>
      <c r="N54" s="18"/>
      <c r="O54" s="18"/>
      <c r="P54" s="18"/>
    </row>
    <row r="55" spans="1:16" x14ac:dyDescent="0.2">
      <c r="A55" s="4">
        <v>46029</v>
      </c>
      <c r="B55" s="1" t="s">
        <v>40</v>
      </c>
      <c r="C55" s="18" t="s">
        <v>20</v>
      </c>
      <c r="D55" s="18">
        <v>3263</v>
      </c>
      <c r="E55" s="18" t="s">
        <v>198</v>
      </c>
      <c r="F55" s="18">
        <v>430.5</v>
      </c>
      <c r="G55" s="18">
        <v>1500</v>
      </c>
      <c r="H55" s="18">
        <v>34</v>
      </c>
      <c r="I55" s="18">
        <v>700</v>
      </c>
      <c r="J55" s="8">
        <f t="shared" si="0"/>
        <v>51700</v>
      </c>
      <c r="K55" s="27">
        <f t="shared" si="1"/>
        <v>5.1103368176538908E-3</v>
      </c>
      <c r="L55" s="18">
        <v>2.2000000000000002</v>
      </c>
      <c r="M55" s="18"/>
      <c r="N55" s="18"/>
      <c r="O55" s="18"/>
      <c r="P55" s="18"/>
    </row>
    <row r="56" spans="1:16" x14ac:dyDescent="0.2">
      <c r="A56" s="4">
        <v>46029</v>
      </c>
      <c r="B56" s="1" t="s">
        <v>40</v>
      </c>
      <c r="C56" s="18" t="s">
        <v>20</v>
      </c>
      <c r="D56" s="18">
        <v>3290</v>
      </c>
      <c r="E56" s="18" t="s">
        <v>412</v>
      </c>
      <c r="F56" s="18">
        <v>521.70000000000005</v>
      </c>
      <c r="G56" s="18">
        <v>500</v>
      </c>
      <c r="H56" s="18">
        <v>50</v>
      </c>
      <c r="I56" s="18"/>
      <c r="J56" s="8">
        <f t="shared" si="0"/>
        <v>25000</v>
      </c>
      <c r="K56" s="27">
        <f t="shared" si="1"/>
        <v>9.2006900517538799E-3</v>
      </c>
      <c r="L56" s="18">
        <v>4.8</v>
      </c>
      <c r="M56" s="18"/>
      <c r="N56" s="18"/>
      <c r="O56" s="18"/>
      <c r="P56" s="18"/>
    </row>
    <row r="57" spans="1:16" x14ac:dyDescent="0.2">
      <c r="A57" s="4">
        <v>46029</v>
      </c>
      <c r="B57" s="1" t="s">
        <v>40</v>
      </c>
      <c r="C57" s="18" t="s">
        <v>15</v>
      </c>
      <c r="D57" s="18">
        <v>3478</v>
      </c>
      <c r="E57" s="18" t="s">
        <v>168</v>
      </c>
      <c r="F57" s="18">
        <v>534.6</v>
      </c>
      <c r="G57" s="18">
        <v>500</v>
      </c>
      <c r="H57" s="18">
        <v>39</v>
      </c>
      <c r="I57" s="18">
        <v>400</v>
      </c>
      <c r="J57" s="8">
        <f t="shared" si="0"/>
        <v>19900</v>
      </c>
      <c r="K57" s="27">
        <f t="shared" si="1"/>
        <v>3.554059109614665E-3</v>
      </c>
      <c r="L57" s="18">
        <v>1.9</v>
      </c>
      <c r="M57" s="18"/>
      <c r="N57" s="18"/>
      <c r="O57" s="18"/>
      <c r="P57" s="18"/>
    </row>
    <row r="58" spans="1:16" x14ac:dyDescent="0.2">
      <c r="A58" s="4">
        <v>46029</v>
      </c>
      <c r="B58" s="1" t="s">
        <v>40</v>
      </c>
      <c r="C58" s="18" t="s">
        <v>33</v>
      </c>
      <c r="D58" s="18">
        <v>3340</v>
      </c>
      <c r="E58" s="18" t="s">
        <v>413</v>
      </c>
      <c r="F58" s="18">
        <v>365.2</v>
      </c>
      <c r="G58" s="18">
        <v>500</v>
      </c>
      <c r="H58" s="18">
        <v>51</v>
      </c>
      <c r="I58" s="18">
        <v>480</v>
      </c>
      <c r="J58" s="8">
        <f t="shared" si="0"/>
        <v>25980</v>
      </c>
      <c r="K58" s="27">
        <f t="shared" si="1"/>
        <v>1.413760603204524E-2</v>
      </c>
      <c r="L58" s="18">
        <v>4.5</v>
      </c>
      <c r="M58" s="18">
        <v>6.6</v>
      </c>
      <c r="N58" s="18">
        <v>15.7</v>
      </c>
      <c r="O58" s="18">
        <v>46.9</v>
      </c>
      <c r="P58" s="18"/>
    </row>
    <row r="59" spans="1:16" x14ac:dyDescent="0.2">
      <c r="A59" s="4">
        <v>46029</v>
      </c>
      <c r="B59" s="1" t="s">
        <v>40</v>
      </c>
      <c r="C59" s="18" t="s">
        <v>33</v>
      </c>
      <c r="D59" s="18">
        <v>3341</v>
      </c>
      <c r="E59" s="18" t="s">
        <v>414</v>
      </c>
      <c r="F59" s="18">
        <v>228.3</v>
      </c>
      <c r="G59" s="18">
        <v>500</v>
      </c>
      <c r="H59" s="18">
        <v>24</v>
      </c>
      <c r="I59" s="18">
        <v>200</v>
      </c>
      <c r="J59" s="8">
        <f t="shared" si="0"/>
        <v>12200</v>
      </c>
      <c r="K59" s="27">
        <f t="shared" si="1"/>
        <v>2.1287379624936643E-2</v>
      </c>
      <c r="L59" s="18">
        <v>4.2</v>
      </c>
      <c r="M59" s="18">
        <v>1.9</v>
      </c>
      <c r="N59" s="18"/>
      <c r="O59" s="18">
        <v>31</v>
      </c>
      <c r="P59" s="18"/>
    </row>
    <row r="60" spans="1:16" x14ac:dyDescent="0.2">
      <c r="A60" s="4">
        <v>46029</v>
      </c>
      <c r="B60" s="1" t="s">
        <v>40</v>
      </c>
      <c r="C60" s="18" t="s">
        <v>33</v>
      </c>
      <c r="D60" s="18">
        <v>3278</v>
      </c>
      <c r="E60" s="18" t="s">
        <v>415</v>
      </c>
      <c r="F60" s="18">
        <v>337.4</v>
      </c>
      <c r="G60" s="18">
        <v>500</v>
      </c>
      <c r="H60" s="18">
        <v>31</v>
      </c>
      <c r="I60" s="18">
        <v>250</v>
      </c>
      <c r="J60" s="8">
        <f t="shared" si="0"/>
        <v>15750</v>
      </c>
      <c r="K60" s="27">
        <f t="shared" si="1"/>
        <v>1.2329223592135957E-2</v>
      </c>
      <c r="L60" s="18">
        <v>3.7</v>
      </c>
      <c r="M60" s="18">
        <v>4.2</v>
      </c>
      <c r="N60" s="18"/>
      <c r="O60" s="18">
        <v>37.299999999999997</v>
      </c>
      <c r="P60" s="18"/>
    </row>
    <row r="61" spans="1:16" x14ac:dyDescent="0.2">
      <c r="A61" s="4">
        <v>46029</v>
      </c>
      <c r="B61" s="1" t="s">
        <v>40</v>
      </c>
      <c r="C61" s="18" t="s">
        <v>33</v>
      </c>
      <c r="D61" s="18">
        <v>3279</v>
      </c>
      <c r="E61" s="18" t="s">
        <v>416</v>
      </c>
      <c r="F61" s="18">
        <v>296.10000000000002</v>
      </c>
      <c r="G61" s="18">
        <v>500</v>
      </c>
      <c r="H61" s="18">
        <v>19</v>
      </c>
      <c r="I61" s="18"/>
      <c r="J61" s="8">
        <f t="shared" si="0"/>
        <v>9500</v>
      </c>
      <c r="K61" s="27">
        <f t="shared" si="1"/>
        <v>7.180650037792894E-3</v>
      </c>
      <c r="L61" s="18">
        <v>1.9</v>
      </c>
      <c r="M61" s="18">
        <v>6.2</v>
      </c>
      <c r="N61" s="18"/>
      <c r="O61" s="18">
        <v>31.5</v>
      </c>
      <c r="P61" s="18"/>
    </row>
    <row r="62" spans="1:16" x14ac:dyDescent="0.2">
      <c r="A62" s="4">
        <v>46029</v>
      </c>
      <c r="B62" s="1" t="s">
        <v>40</v>
      </c>
      <c r="C62" s="18" t="s">
        <v>15</v>
      </c>
      <c r="D62" s="18">
        <v>3128</v>
      </c>
      <c r="E62" s="18" t="s">
        <v>417</v>
      </c>
      <c r="F62" s="18">
        <v>49</v>
      </c>
      <c r="G62" s="18">
        <v>100</v>
      </c>
      <c r="H62" s="18">
        <v>3</v>
      </c>
      <c r="I62" s="18"/>
      <c r="J62" s="8">
        <f t="shared" si="0"/>
        <v>300</v>
      </c>
      <c r="K62" s="27">
        <f t="shared" si="1"/>
        <v>1.4285714285714285E-2</v>
      </c>
      <c r="L62" s="18">
        <v>0.7</v>
      </c>
      <c r="M62" s="18"/>
      <c r="N62" s="18"/>
      <c r="O62" s="18"/>
      <c r="P62" s="18"/>
    </row>
    <row r="63" spans="1:16" x14ac:dyDescent="0.2">
      <c r="A63" s="4">
        <v>46030</v>
      </c>
      <c r="B63" s="1" t="s">
        <v>54</v>
      </c>
      <c r="C63" s="18" t="s">
        <v>15</v>
      </c>
      <c r="D63" s="18">
        <v>3128</v>
      </c>
      <c r="E63" s="18" t="s">
        <v>417</v>
      </c>
      <c r="F63" s="18">
        <v>1519</v>
      </c>
      <c r="G63" s="18">
        <v>100</v>
      </c>
      <c r="H63" s="18">
        <v>103</v>
      </c>
      <c r="I63" s="18"/>
      <c r="J63" s="8">
        <f t="shared" si="0"/>
        <v>10300</v>
      </c>
      <c r="K63" s="27">
        <f t="shared" si="1"/>
        <v>5.4641211323238981E-3</v>
      </c>
      <c r="L63" s="18">
        <v>8.3000000000000007</v>
      </c>
      <c r="M63" s="18"/>
      <c r="N63" s="18"/>
      <c r="O63" s="18"/>
      <c r="P63" s="18"/>
    </row>
    <row r="64" spans="1:16" x14ac:dyDescent="0.2">
      <c r="A64" s="4">
        <v>46030</v>
      </c>
      <c r="B64" s="1" t="s">
        <v>54</v>
      </c>
      <c r="C64" s="18" t="s">
        <v>20</v>
      </c>
      <c r="D64" s="18">
        <v>3290</v>
      </c>
      <c r="E64" s="18" t="s">
        <v>412</v>
      </c>
      <c r="F64" s="18">
        <v>859.1</v>
      </c>
      <c r="G64" s="18">
        <v>500</v>
      </c>
      <c r="H64" s="18">
        <v>83</v>
      </c>
      <c r="I64" s="18"/>
      <c r="J64" s="8">
        <f t="shared" si="0"/>
        <v>41500</v>
      </c>
      <c r="K64" s="27">
        <f t="shared" si="1"/>
        <v>6.8676521941566761E-3</v>
      </c>
      <c r="L64" s="18">
        <v>5.9</v>
      </c>
      <c r="M64" s="18"/>
      <c r="N64" s="18"/>
      <c r="O64" s="18"/>
      <c r="P64" s="18"/>
    </row>
    <row r="65" spans="1:16" x14ac:dyDescent="0.2">
      <c r="A65" s="4">
        <v>46030</v>
      </c>
      <c r="B65" s="1" t="s">
        <v>54</v>
      </c>
      <c r="C65" s="18" t="s">
        <v>27</v>
      </c>
      <c r="D65" s="18">
        <v>3127</v>
      </c>
      <c r="E65" s="18" t="s">
        <v>395</v>
      </c>
      <c r="F65" s="18">
        <v>160</v>
      </c>
      <c r="G65" s="18">
        <v>2000</v>
      </c>
      <c r="H65" s="18">
        <v>31</v>
      </c>
      <c r="I65" s="18">
        <v>1200</v>
      </c>
      <c r="J65" s="8">
        <f t="shared" si="0"/>
        <v>63200</v>
      </c>
      <c r="K65" s="27">
        <f t="shared" si="1"/>
        <v>1.4374999999999999E-2</v>
      </c>
      <c r="L65" s="18">
        <v>2.2999999999999998</v>
      </c>
      <c r="M65" s="18"/>
      <c r="N65" s="18"/>
      <c r="O65" s="18"/>
      <c r="P65" s="18"/>
    </row>
    <row r="66" spans="1:16" x14ac:dyDescent="0.2">
      <c r="A66" s="4">
        <v>46030</v>
      </c>
      <c r="B66" s="1" t="s">
        <v>54</v>
      </c>
      <c r="C66" s="18" t="s">
        <v>24</v>
      </c>
      <c r="D66" s="18">
        <v>3490</v>
      </c>
      <c r="E66" s="18" t="s">
        <v>408</v>
      </c>
      <c r="F66" s="18">
        <v>245.3</v>
      </c>
      <c r="G66" s="18">
        <v>2000</v>
      </c>
      <c r="H66" s="18">
        <v>34</v>
      </c>
      <c r="I66" s="18"/>
      <c r="J66" s="8">
        <f t="shared" si="0"/>
        <v>68000</v>
      </c>
      <c r="K66" s="27">
        <f t="shared" si="1"/>
        <v>4.8919690175295554E-3</v>
      </c>
      <c r="L66" s="18">
        <v>1.2</v>
      </c>
      <c r="M66" s="18"/>
      <c r="N66" s="18"/>
      <c r="O66" s="18"/>
      <c r="P66" s="18"/>
    </row>
    <row r="67" spans="1:16" x14ac:dyDescent="0.2">
      <c r="A67" s="4">
        <v>46030</v>
      </c>
      <c r="B67" s="1" t="s">
        <v>54</v>
      </c>
      <c r="C67" s="18" t="s">
        <v>33</v>
      </c>
      <c r="D67" s="18">
        <v>3279</v>
      </c>
      <c r="E67" s="18" t="s">
        <v>416</v>
      </c>
      <c r="F67" s="18">
        <v>39</v>
      </c>
      <c r="G67" s="18">
        <v>500</v>
      </c>
      <c r="H67" s="18">
        <v>3</v>
      </c>
      <c r="I67" s="18">
        <v>450</v>
      </c>
      <c r="J67" s="8">
        <f t="shared" ref="J67:J129" si="2">G67*H67+I67</f>
        <v>1950</v>
      </c>
      <c r="K67" s="27">
        <f t="shared" si="1"/>
        <v>5.7575757575757572E-2</v>
      </c>
      <c r="L67" s="18">
        <v>1.9</v>
      </c>
      <c r="M67" s="18"/>
      <c r="N67" s="18"/>
      <c r="O67" s="18">
        <v>6</v>
      </c>
      <c r="P67" s="18"/>
    </row>
    <row r="68" spans="1:16" x14ac:dyDescent="0.2">
      <c r="A68" s="4">
        <v>46030</v>
      </c>
      <c r="B68" s="1" t="s">
        <v>54</v>
      </c>
      <c r="C68" s="18" t="s">
        <v>33</v>
      </c>
      <c r="D68" s="18">
        <v>3157</v>
      </c>
      <c r="E68" s="18" t="s">
        <v>203</v>
      </c>
      <c r="F68" s="18">
        <v>734.8</v>
      </c>
      <c r="G68" s="18">
        <v>500</v>
      </c>
      <c r="H68" s="18">
        <v>28</v>
      </c>
      <c r="I68" s="18"/>
      <c r="J68" s="8">
        <f t="shared" si="2"/>
        <v>14000</v>
      </c>
      <c r="K68" s="27">
        <f t="shared" si="1"/>
        <v>6.4629847238542896E-3</v>
      </c>
      <c r="L68" s="18">
        <v>4.4000000000000004</v>
      </c>
      <c r="M68" s="18">
        <v>10.199999999999999</v>
      </c>
      <c r="N68" s="18"/>
      <c r="O68" s="18">
        <v>54</v>
      </c>
      <c r="P68" s="18"/>
    </row>
    <row r="69" spans="1:16" x14ac:dyDescent="0.2">
      <c r="A69" s="4">
        <v>46030</v>
      </c>
      <c r="B69" s="1" t="s">
        <v>54</v>
      </c>
      <c r="C69" s="18" t="s">
        <v>33</v>
      </c>
      <c r="D69" s="18">
        <v>3167</v>
      </c>
      <c r="E69" s="18" t="s">
        <v>418</v>
      </c>
      <c r="F69" s="18">
        <v>223.8</v>
      </c>
      <c r="G69" s="18">
        <v>500</v>
      </c>
      <c r="H69" s="18">
        <v>14</v>
      </c>
      <c r="I69" s="18">
        <v>470</v>
      </c>
      <c r="J69" s="8">
        <f t="shared" si="2"/>
        <v>7470</v>
      </c>
      <c r="K69" s="27">
        <f t="shared" si="1"/>
        <v>7.5910931174089057E-3</v>
      </c>
      <c r="L69" s="18">
        <v>1.5</v>
      </c>
      <c r="M69" s="18">
        <v>2.7</v>
      </c>
      <c r="N69" s="18"/>
      <c r="O69" s="18">
        <v>26.2</v>
      </c>
      <c r="P69" s="18"/>
    </row>
    <row r="70" spans="1:16" x14ac:dyDescent="0.2">
      <c r="A70" s="4">
        <v>46030</v>
      </c>
      <c r="B70" s="1" t="s">
        <v>54</v>
      </c>
      <c r="C70" s="18" t="s">
        <v>33</v>
      </c>
      <c r="D70" s="18">
        <v>3108</v>
      </c>
      <c r="E70" s="18" t="s">
        <v>419</v>
      </c>
      <c r="F70" s="18">
        <v>260.5</v>
      </c>
      <c r="G70" s="18">
        <v>500</v>
      </c>
      <c r="H70" s="18">
        <v>25</v>
      </c>
      <c r="I70" s="18"/>
      <c r="J70" s="8">
        <f t="shared" si="2"/>
        <v>12500</v>
      </c>
      <c r="K70" s="27">
        <f t="shared" si="1"/>
        <v>3.2216494845360821E-2</v>
      </c>
      <c r="L70" s="18">
        <v>7.5</v>
      </c>
      <c r="M70" s="18">
        <v>3.5</v>
      </c>
      <c r="N70" s="18"/>
      <c r="O70" s="18">
        <v>27.7</v>
      </c>
      <c r="P70" s="18"/>
    </row>
    <row r="71" spans="1:16" x14ac:dyDescent="0.2">
      <c r="A71" s="4">
        <v>46030</v>
      </c>
      <c r="B71" s="1" t="s">
        <v>54</v>
      </c>
      <c r="C71" s="18" t="s">
        <v>33</v>
      </c>
      <c r="D71" s="18">
        <v>3257</v>
      </c>
      <c r="E71" s="18" t="s">
        <v>420</v>
      </c>
      <c r="F71" s="18">
        <v>283.7</v>
      </c>
      <c r="G71" s="18">
        <v>1000</v>
      </c>
      <c r="H71" s="18">
        <v>38</v>
      </c>
      <c r="I71" s="18">
        <v>900</v>
      </c>
      <c r="J71" s="8">
        <f t="shared" si="2"/>
        <v>38900</v>
      </c>
      <c r="K71" s="27">
        <f t="shared" si="1"/>
        <v>3.7600337980566119E-2</v>
      </c>
      <c r="L71" s="18">
        <v>8.9</v>
      </c>
      <c r="M71" s="18">
        <v>5.6</v>
      </c>
      <c r="N71" s="18"/>
      <c r="O71" s="18">
        <v>47</v>
      </c>
      <c r="P71" s="18"/>
    </row>
    <row r="72" spans="1:16" x14ac:dyDescent="0.2">
      <c r="A72" s="4">
        <v>46030</v>
      </c>
      <c r="B72" s="1" t="s">
        <v>54</v>
      </c>
      <c r="C72" s="18" t="s">
        <v>27</v>
      </c>
      <c r="D72" s="18">
        <v>3252</v>
      </c>
      <c r="E72" s="18" t="s">
        <v>421</v>
      </c>
      <c r="F72" s="18">
        <v>97</v>
      </c>
      <c r="G72" s="18">
        <v>700</v>
      </c>
      <c r="H72" s="18">
        <v>9</v>
      </c>
      <c r="I72" s="18"/>
      <c r="J72" s="8">
        <f t="shared" si="2"/>
        <v>6300</v>
      </c>
      <c r="K72" s="27">
        <f t="shared" si="1"/>
        <v>3.092783505154639E-3</v>
      </c>
      <c r="L72" s="18">
        <v>0.3</v>
      </c>
      <c r="M72" s="18"/>
      <c r="N72" s="18"/>
      <c r="O72" s="18"/>
      <c r="P72" s="18"/>
    </row>
    <row r="73" spans="1:16" x14ac:dyDescent="0.2">
      <c r="A73" s="4">
        <v>46030</v>
      </c>
      <c r="B73" s="1" t="s">
        <v>54</v>
      </c>
      <c r="C73" s="18" t="s">
        <v>33</v>
      </c>
      <c r="D73" s="18">
        <v>3123</v>
      </c>
      <c r="E73" s="18" t="s">
        <v>422</v>
      </c>
      <c r="F73" s="18">
        <v>97</v>
      </c>
      <c r="G73" s="18">
        <v>500</v>
      </c>
      <c r="H73" s="18">
        <v>8</v>
      </c>
      <c r="I73" s="18"/>
      <c r="J73" s="8">
        <f t="shared" si="2"/>
        <v>4000</v>
      </c>
      <c r="K73" s="27">
        <f t="shared" si="1"/>
        <v>4.1807909604519779E-2</v>
      </c>
      <c r="L73" s="18">
        <v>3.7</v>
      </c>
      <c r="M73" s="18"/>
      <c r="N73" s="18"/>
      <c r="O73" s="18">
        <v>8.5</v>
      </c>
      <c r="P73" s="18"/>
    </row>
    <row r="74" spans="1:16" x14ac:dyDescent="0.2">
      <c r="A74" s="4">
        <v>46031</v>
      </c>
      <c r="B74" s="1" t="s">
        <v>423</v>
      </c>
      <c r="C74" s="18" t="s">
        <v>15</v>
      </c>
      <c r="D74" s="18">
        <v>3128</v>
      </c>
      <c r="E74" s="18" t="s">
        <v>417</v>
      </c>
      <c r="F74" s="18">
        <v>619.29999999999995</v>
      </c>
      <c r="G74" s="18">
        <v>100</v>
      </c>
      <c r="H74" s="18">
        <v>36</v>
      </c>
      <c r="I74" s="18"/>
      <c r="J74" s="8">
        <f t="shared" si="2"/>
        <v>3600</v>
      </c>
      <c r="K74" s="27">
        <f t="shared" si="1"/>
        <v>1.7923461973195543E-2</v>
      </c>
      <c r="L74" s="18">
        <v>11.1</v>
      </c>
      <c r="M74" s="18"/>
      <c r="N74" s="18"/>
      <c r="O74" s="18"/>
      <c r="P74" s="16"/>
    </row>
    <row r="75" spans="1:16" x14ac:dyDescent="0.2">
      <c r="A75" s="4">
        <v>46031</v>
      </c>
      <c r="B75" s="1" t="s">
        <v>423</v>
      </c>
      <c r="C75" s="18" t="s">
        <v>15</v>
      </c>
      <c r="D75" s="18">
        <v>3201</v>
      </c>
      <c r="E75" s="18" t="s">
        <v>424</v>
      </c>
      <c r="F75" s="18">
        <v>213.2</v>
      </c>
      <c r="G75" s="18">
        <v>500</v>
      </c>
      <c r="H75" s="18">
        <v>19</v>
      </c>
      <c r="I75" s="18">
        <v>350</v>
      </c>
      <c r="J75" s="8">
        <f t="shared" si="2"/>
        <v>9850</v>
      </c>
      <c r="K75" s="27">
        <f t="shared" si="1"/>
        <v>2.9843675982946471E-2</v>
      </c>
      <c r="L75" s="18">
        <v>6.3</v>
      </c>
      <c r="M75" s="18"/>
      <c r="N75" s="18">
        <v>3</v>
      </c>
      <c r="O75" s="18">
        <v>2.1</v>
      </c>
      <c r="P75" s="15"/>
    </row>
    <row r="76" spans="1:16" x14ac:dyDescent="0.2">
      <c r="A76" s="4">
        <v>46031</v>
      </c>
      <c r="B76" s="1" t="s">
        <v>423</v>
      </c>
      <c r="C76" s="18" t="s">
        <v>15</v>
      </c>
      <c r="D76" s="18">
        <v>3200</v>
      </c>
      <c r="E76" s="18" t="s">
        <v>425</v>
      </c>
      <c r="F76" s="18">
        <v>151</v>
      </c>
      <c r="G76" s="18">
        <v>500</v>
      </c>
      <c r="H76" s="18">
        <v>17</v>
      </c>
      <c r="I76" s="18">
        <v>200</v>
      </c>
      <c r="J76" s="8">
        <f t="shared" si="2"/>
        <v>8700</v>
      </c>
      <c r="K76" s="27">
        <f t="shared" si="1"/>
        <v>3.4205231388329982E-2</v>
      </c>
      <c r="L76" s="18">
        <v>5.0999999999999996</v>
      </c>
      <c r="M76" s="18"/>
      <c r="N76" s="18"/>
      <c r="O76" s="18">
        <v>1.9</v>
      </c>
      <c r="P76" s="15"/>
    </row>
    <row r="77" spans="1:16" x14ac:dyDescent="0.2">
      <c r="A77" s="4">
        <v>46031</v>
      </c>
      <c r="B77" s="1" t="s">
        <v>423</v>
      </c>
      <c r="C77" s="18" t="s">
        <v>15</v>
      </c>
      <c r="D77" s="18">
        <v>3349</v>
      </c>
      <c r="E77" s="18" t="s">
        <v>102</v>
      </c>
      <c r="F77" s="18">
        <v>89.5</v>
      </c>
      <c r="G77" s="18">
        <v>300</v>
      </c>
      <c r="H77" s="18">
        <v>6</v>
      </c>
      <c r="I77" s="18"/>
      <c r="J77" s="8">
        <f t="shared" si="2"/>
        <v>1800</v>
      </c>
      <c r="K77" s="27">
        <f t="shared" si="1"/>
        <v>1.7877094972067041E-2</v>
      </c>
      <c r="L77" s="18">
        <v>1.6</v>
      </c>
      <c r="M77" s="18"/>
      <c r="N77" s="18"/>
      <c r="O77" s="18"/>
      <c r="P77" s="15"/>
    </row>
    <row r="78" spans="1:16" x14ac:dyDescent="0.2">
      <c r="A78" s="4">
        <v>46031</v>
      </c>
      <c r="B78" s="1" t="s">
        <v>423</v>
      </c>
      <c r="C78" s="18" t="s">
        <v>20</v>
      </c>
      <c r="D78" s="18">
        <v>3290</v>
      </c>
      <c r="E78" s="18" t="s">
        <v>412</v>
      </c>
      <c r="F78" s="18">
        <v>1048.4000000000001</v>
      </c>
      <c r="G78" s="18">
        <v>500</v>
      </c>
      <c r="H78" s="18">
        <v>95</v>
      </c>
      <c r="I78" s="18"/>
      <c r="J78" s="8">
        <f t="shared" si="2"/>
        <v>47500</v>
      </c>
      <c r="K78" s="27">
        <f t="shared" si="1"/>
        <v>1.0969095764975199E-2</v>
      </c>
      <c r="L78" s="18">
        <v>11.5</v>
      </c>
      <c r="M78" s="18"/>
      <c r="N78" s="18"/>
      <c r="O78" s="18"/>
      <c r="P78" s="15"/>
    </row>
    <row r="79" spans="1:16" x14ac:dyDescent="0.2">
      <c r="A79" s="4">
        <v>46031</v>
      </c>
      <c r="B79" s="1" t="s">
        <v>423</v>
      </c>
      <c r="C79" s="18" t="s">
        <v>24</v>
      </c>
      <c r="D79" s="18">
        <v>3490</v>
      </c>
      <c r="E79" s="18" t="s">
        <v>408</v>
      </c>
      <c r="F79" s="18">
        <v>323.89999999999998</v>
      </c>
      <c r="G79" s="18">
        <v>2000</v>
      </c>
      <c r="H79" s="18">
        <v>40</v>
      </c>
      <c r="I79" s="18"/>
      <c r="J79" s="8">
        <f t="shared" si="2"/>
        <v>80000</v>
      </c>
      <c r="K79" s="27">
        <f t="shared" si="1"/>
        <v>3.3961099104661938E-3</v>
      </c>
      <c r="L79" s="18">
        <v>1.1000000000000001</v>
      </c>
      <c r="M79" s="18"/>
      <c r="N79" s="18"/>
      <c r="O79" s="18"/>
      <c r="P79" s="15"/>
    </row>
    <row r="80" spans="1:16" x14ac:dyDescent="0.2">
      <c r="A80" s="4">
        <v>46031</v>
      </c>
      <c r="B80" s="1" t="s">
        <v>423</v>
      </c>
      <c r="C80" s="18" t="s">
        <v>27</v>
      </c>
      <c r="D80" s="18">
        <v>3252</v>
      </c>
      <c r="E80" s="18" t="s">
        <v>421</v>
      </c>
      <c r="F80" s="18">
        <v>48.5</v>
      </c>
      <c r="G80" s="18">
        <v>700</v>
      </c>
      <c r="H80" s="18">
        <v>8</v>
      </c>
      <c r="I80" s="18">
        <v>500</v>
      </c>
      <c r="J80" s="8">
        <f t="shared" si="2"/>
        <v>6100</v>
      </c>
      <c r="K80" s="27">
        <f t="shared" si="1"/>
        <v>0</v>
      </c>
      <c r="L80" s="18"/>
      <c r="M80" s="18"/>
      <c r="N80" s="18"/>
      <c r="O80" s="18"/>
      <c r="P80" s="15"/>
    </row>
    <row r="81" spans="1:16" x14ac:dyDescent="0.2">
      <c r="A81" s="4">
        <v>46031</v>
      </c>
      <c r="B81" s="1" t="s">
        <v>423</v>
      </c>
      <c r="C81" s="18" t="s">
        <v>27</v>
      </c>
      <c r="D81" s="18">
        <v>3288</v>
      </c>
      <c r="E81" s="18" t="s">
        <v>426</v>
      </c>
      <c r="F81" s="18">
        <v>149.69999999999999</v>
      </c>
      <c r="G81" s="18">
        <v>1000</v>
      </c>
      <c r="H81" s="18">
        <v>13</v>
      </c>
      <c r="I81" s="18"/>
      <c r="J81" s="8">
        <f t="shared" si="2"/>
        <v>13000</v>
      </c>
      <c r="K81" s="27">
        <f t="shared" si="1"/>
        <v>8.6840347361389451E-3</v>
      </c>
      <c r="L81" s="18">
        <v>1.3</v>
      </c>
      <c r="M81" s="18"/>
      <c r="N81" s="18"/>
      <c r="O81" s="18"/>
      <c r="P81" s="15"/>
    </row>
    <row r="82" spans="1:16" x14ac:dyDescent="0.2">
      <c r="A82" s="4">
        <v>46031</v>
      </c>
      <c r="B82" s="1" t="s">
        <v>423</v>
      </c>
      <c r="C82" s="18" t="s">
        <v>27</v>
      </c>
      <c r="D82" s="18">
        <v>3253</v>
      </c>
      <c r="E82" s="18" t="s">
        <v>427</v>
      </c>
      <c r="F82" s="18">
        <v>35.200000000000003</v>
      </c>
      <c r="G82" s="18">
        <v>2000</v>
      </c>
      <c r="H82" s="18">
        <v>4</v>
      </c>
      <c r="I82" s="18"/>
      <c r="J82" s="8">
        <f t="shared" si="2"/>
        <v>8000</v>
      </c>
      <c r="K82" s="27">
        <f t="shared" si="1"/>
        <v>0</v>
      </c>
      <c r="L82" s="18"/>
      <c r="M82" s="18">
        <v>3.7</v>
      </c>
      <c r="N82" s="18"/>
      <c r="O82" s="18"/>
      <c r="P82" s="15"/>
    </row>
    <row r="83" spans="1:16" x14ac:dyDescent="0.2">
      <c r="A83" s="4">
        <v>46031</v>
      </c>
      <c r="B83" s="1" t="s">
        <v>423</v>
      </c>
      <c r="C83" s="18" t="s">
        <v>33</v>
      </c>
      <c r="D83" s="18">
        <v>3123</v>
      </c>
      <c r="E83" s="18" t="s">
        <v>422</v>
      </c>
      <c r="F83" s="18">
        <v>865.4</v>
      </c>
      <c r="G83" s="18">
        <v>500</v>
      </c>
      <c r="H83" s="18">
        <v>66</v>
      </c>
      <c r="I83" s="18"/>
      <c r="J83" s="8">
        <f t="shared" si="2"/>
        <v>33000</v>
      </c>
      <c r="K83" s="27">
        <f t="shared" si="1"/>
        <v>1.6448213826779752E-2</v>
      </c>
      <c r="L83" s="18">
        <v>12.8</v>
      </c>
      <c r="M83" s="18">
        <v>12.7</v>
      </c>
      <c r="N83" s="18"/>
      <c r="O83" s="18">
        <v>87.2</v>
      </c>
      <c r="P83" s="15"/>
    </row>
    <row r="84" spans="1:16" x14ac:dyDescent="0.2">
      <c r="A84" s="4">
        <v>46031</v>
      </c>
      <c r="B84" s="1" t="s">
        <v>423</v>
      </c>
      <c r="C84" s="18" t="s">
        <v>33</v>
      </c>
      <c r="D84" s="18">
        <v>3368</v>
      </c>
      <c r="E84" s="18" t="s">
        <v>428</v>
      </c>
      <c r="F84" s="18">
        <v>681.7</v>
      </c>
      <c r="G84" s="18">
        <v>500</v>
      </c>
      <c r="H84" s="18">
        <v>70</v>
      </c>
      <c r="I84" s="18">
        <v>300</v>
      </c>
      <c r="J84" s="8">
        <f t="shared" si="2"/>
        <v>35300</v>
      </c>
      <c r="K84" s="27">
        <f t="shared" si="1"/>
        <v>1.9500908940670966E-2</v>
      </c>
      <c r="L84" s="18">
        <v>11.8</v>
      </c>
      <c r="M84" s="18">
        <v>14.6</v>
      </c>
      <c r="N84" s="18"/>
      <c r="O84" s="18">
        <v>76.599999999999994</v>
      </c>
      <c r="P84" s="29"/>
    </row>
    <row r="85" spans="1:16" x14ac:dyDescent="0.2">
      <c r="A85" s="4">
        <v>46032</v>
      </c>
      <c r="B85" s="1" t="s">
        <v>40</v>
      </c>
      <c r="C85" s="18" t="s">
        <v>24</v>
      </c>
      <c r="D85" s="18">
        <v>3490</v>
      </c>
      <c r="E85" s="18" t="s">
        <v>408</v>
      </c>
      <c r="F85" s="18">
        <v>245</v>
      </c>
      <c r="G85" s="18">
        <v>2000</v>
      </c>
      <c r="H85" s="18">
        <v>34</v>
      </c>
      <c r="I85" s="18"/>
      <c r="J85" s="8">
        <f t="shared" si="2"/>
        <v>68000</v>
      </c>
      <c r="K85" s="27">
        <f t="shared" si="1"/>
        <v>1.6326530612244899E-3</v>
      </c>
      <c r="L85" s="18">
        <v>0.4</v>
      </c>
      <c r="M85" s="18"/>
      <c r="N85" s="18"/>
      <c r="O85" s="18"/>
      <c r="P85" s="18"/>
    </row>
    <row r="86" spans="1:16" x14ac:dyDescent="0.2">
      <c r="A86" s="4">
        <v>46032</v>
      </c>
      <c r="B86" s="1" t="s">
        <v>40</v>
      </c>
      <c r="C86" s="18" t="s">
        <v>27</v>
      </c>
      <c r="D86" s="18">
        <v>3288</v>
      </c>
      <c r="E86" s="18" t="s">
        <v>426</v>
      </c>
      <c r="F86" s="18">
        <v>412.2</v>
      </c>
      <c r="G86" s="18">
        <v>1000</v>
      </c>
      <c r="H86" s="18">
        <v>7</v>
      </c>
      <c r="I86" s="18"/>
      <c r="J86" s="8">
        <f t="shared" si="2"/>
        <v>7000</v>
      </c>
      <c r="K86" s="27">
        <f t="shared" si="1"/>
        <v>9.7040271712760804E-4</v>
      </c>
      <c r="L86" s="18">
        <v>0.4</v>
      </c>
      <c r="M86" s="18"/>
      <c r="N86" s="18"/>
      <c r="O86" s="18"/>
      <c r="P86" s="18"/>
    </row>
    <row r="87" spans="1:16" x14ac:dyDescent="0.2">
      <c r="A87" s="4">
        <v>46032</v>
      </c>
      <c r="B87" s="1" t="s">
        <v>40</v>
      </c>
      <c r="C87" s="18" t="s">
        <v>27</v>
      </c>
      <c r="D87" s="18">
        <v>3253</v>
      </c>
      <c r="E87" s="18" t="s">
        <v>427</v>
      </c>
      <c r="F87" s="18">
        <v>154.69999999999999</v>
      </c>
      <c r="G87" s="18">
        <v>2000</v>
      </c>
      <c r="H87" s="18">
        <v>12</v>
      </c>
      <c r="I87" s="18">
        <v>600</v>
      </c>
      <c r="J87" s="8">
        <f t="shared" si="2"/>
        <v>24600</v>
      </c>
      <c r="K87" s="27">
        <f t="shared" si="1"/>
        <v>1.098901098901099E-2</v>
      </c>
      <c r="L87" s="18">
        <v>1.7</v>
      </c>
      <c r="M87" s="18">
        <v>3.5</v>
      </c>
      <c r="N87" s="18"/>
      <c r="O87" s="18"/>
      <c r="P87" s="18"/>
    </row>
    <row r="88" spans="1:16" x14ac:dyDescent="0.2">
      <c r="A88" s="4">
        <v>46032</v>
      </c>
      <c r="B88" s="1" t="s">
        <v>40</v>
      </c>
      <c r="C88" s="18" t="s">
        <v>20</v>
      </c>
      <c r="D88" s="18">
        <v>3290</v>
      </c>
      <c r="E88" s="18" t="s">
        <v>429</v>
      </c>
      <c r="F88" s="18">
        <v>774.1</v>
      </c>
      <c r="G88" s="18">
        <v>500</v>
      </c>
      <c r="H88" s="18">
        <v>76</v>
      </c>
      <c r="I88" s="18"/>
      <c r="J88" s="8">
        <f t="shared" si="2"/>
        <v>38000</v>
      </c>
      <c r="K88" s="27">
        <f t="shared" si="1"/>
        <v>3.3587391809843689E-3</v>
      </c>
      <c r="L88" s="18">
        <v>2.6</v>
      </c>
      <c r="M88" s="18"/>
      <c r="N88" s="18"/>
      <c r="O88" s="18"/>
      <c r="P88" s="18"/>
    </row>
    <row r="89" spans="1:16" x14ac:dyDescent="0.2">
      <c r="A89" s="4">
        <v>46032</v>
      </c>
      <c r="B89" s="1" t="s">
        <v>40</v>
      </c>
      <c r="C89" s="18" t="s">
        <v>20</v>
      </c>
      <c r="D89" s="18">
        <v>3289</v>
      </c>
      <c r="E89" s="18" t="s">
        <v>390</v>
      </c>
      <c r="F89" s="18">
        <v>960.8</v>
      </c>
      <c r="G89" s="18">
        <v>500</v>
      </c>
      <c r="H89" s="18">
        <v>56</v>
      </c>
      <c r="I89" s="18"/>
      <c r="J89" s="8">
        <f t="shared" si="2"/>
        <v>28000</v>
      </c>
      <c r="K89" s="27">
        <f t="shared" si="1"/>
        <v>6.5570358034970858E-3</v>
      </c>
      <c r="L89" s="18">
        <v>6.3</v>
      </c>
      <c r="M89" s="18"/>
      <c r="N89" s="18"/>
      <c r="O89" s="18"/>
      <c r="P89" s="18"/>
    </row>
    <row r="90" spans="1:16" x14ac:dyDescent="0.2">
      <c r="A90" s="4">
        <v>46032</v>
      </c>
      <c r="B90" s="1" t="s">
        <v>40</v>
      </c>
      <c r="C90" s="18" t="s">
        <v>15</v>
      </c>
      <c r="D90" s="18">
        <v>3349</v>
      </c>
      <c r="E90" s="18" t="s">
        <v>102</v>
      </c>
      <c r="F90" s="18">
        <v>452.1</v>
      </c>
      <c r="G90" s="18">
        <v>300</v>
      </c>
      <c r="H90" s="18">
        <v>29</v>
      </c>
      <c r="I90" s="18"/>
      <c r="J90" s="8">
        <f t="shared" si="2"/>
        <v>8700</v>
      </c>
      <c r="K90" s="27">
        <f t="shared" si="1"/>
        <v>2.1676620216766203E-2</v>
      </c>
      <c r="L90" s="18">
        <v>9.8000000000000007</v>
      </c>
      <c r="M90" s="18"/>
      <c r="N90" s="18"/>
      <c r="O90" s="18"/>
      <c r="P90" s="18"/>
    </row>
    <row r="91" spans="1:16" x14ac:dyDescent="0.2">
      <c r="A91" s="4">
        <v>46032</v>
      </c>
      <c r="B91" s="1" t="s">
        <v>40</v>
      </c>
      <c r="C91" s="18" t="s">
        <v>15</v>
      </c>
      <c r="D91" s="18">
        <v>3400</v>
      </c>
      <c r="E91" s="18" t="s">
        <v>430</v>
      </c>
      <c r="F91" s="18">
        <v>914</v>
      </c>
      <c r="G91" s="18">
        <v>175</v>
      </c>
      <c r="H91" s="18">
        <v>59</v>
      </c>
      <c r="I91" s="18">
        <v>145</v>
      </c>
      <c r="J91" s="8">
        <f t="shared" si="2"/>
        <v>10470</v>
      </c>
      <c r="K91" s="27">
        <f t="shared" si="1"/>
        <v>1.050328227571116E-2</v>
      </c>
      <c r="L91" s="18">
        <v>9.6</v>
      </c>
      <c r="M91" s="18"/>
      <c r="N91" s="18"/>
      <c r="O91" s="18"/>
      <c r="P91" s="18"/>
    </row>
    <row r="92" spans="1:16" x14ac:dyDescent="0.2">
      <c r="A92" s="4">
        <v>46032</v>
      </c>
      <c r="B92" s="1" t="s">
        <v>40</v>
      </c>
      <c r="C92" s="18" t="s">
        <v>33</v>
      </c>
      <c r="D92" s="18">
        <v>3123</v>
      </c>
      <c r="E92" s="18" t="s">
        <v>422</v>
      </c>
      <c r="F92" s="18">
        <v>1283.5999999999999</v>
      </c>
      <c r="G92" s="18">
        <v>500</v>
      </c>
      <c r="H92" s="18">
        <v>106</v>
      </c>
      <c r="I92" s="18"/>
      <c r="J92" s="8">
        <f t="shared" si="2"/>
        <v>53000</v>
      </c>
      <c r="K92" s="27">
        <f t="shared" si="1"/>
        <v>7.9113924050632917E-3</v>
      </c>
      <c r="L92" s="18">
        <v>9</v>
      </c>
      <c r="M92" s="18">
        <v>20</v>
      </c>
      <c r="N92" s="18">
        <v>3.5</v>
      </c>
      <c r="O92" s="18">
        <v>146</v>
      </c>
      <c r="P92" s="18"/>
    </row>
    <row r="93" spans="1:16" x14ac:dyDescent="0.2">
      <c r="A93" s="4">
        <v>46032</v>
      </c>
      <c r="B93" s="1" t="s">
        <v>40</v>
      </c>
      <c r="C93" s="18" t="s">
        <v>15</v>
      </c>
      <c r="D93" s="18">
        <v>3419</v>
      </c>
      <c r="E93" s="18" t="s">
        <v>250</v>
      </c>
      <c r="F93" s="18">
        <v>82.3</v>
      </c>
      <c r="G93" s="18">
        <v>1000</v>
      </c>
      <c r="H93" s="18">
        <v>6</v>
      </c>
      <c r="I93" s="18"/>
      <c r="J93" s="8">
        <f t="shared" si="2"/>
        <v>6000</v>
      </c>
      <c r="K93" s="27">
        <f t="shared" si="1"/>
        <v>8.5054678007290396E-3</v>
      </c>
      <c r="L93" s="18">
        <v>0.7</v>
      </c>
      <c r="M93" s="18"/>
      <c r="N93" s="18"/>
      <c r="O93" s="18"/>
      <c r="P93" s="18"/>
    </row>
    <row r="94" spans="1:16" x14ac:dyDescent="0.2">
      <c r="A94" s="4">
        <v>46033</v>
      </c>
      <c r="B94" s="1" t="s">
        <v>54</v>
      </c>
      <c r="C94" s="18" t="s">
        <v>15</v>
      </c>
      <c r="D94" s="18">
        <v>3419</v>
      </c>
      <c r="E94" s="18" t="s">
        <v>250</v>
      </c>
      <c r="F94" s="18">
        <v>46.5</v>
      </c>
      <c r="G94" s="18">
        <v>1000</v>
      </c>
      <c r="H94" s="18">
        <v>4</v>
      </c>
      <c r="I94" s="18">
        <v>400</v>
      </c>
      <c r="J94" s="8">
        <f t="shared" si="2"/>
        <v>4400</v>
      </c>
      <c r="K94" s="27">
        <f t="shared" si="1"/>
        <v>0</v>
      </c>
      <c r="L94" s="18"/>
      <c r="M94" s="18"/>
      <c r="N94" s="18"/>
      <c r="O94" s="18"/>
      <c r="P94" s="18"/>
    </row>
    <row r="95" spans="1:16" x14ac:dyDescent="0.2">
      <c r="A95" s="4">
        <v>46033</v>
      </c>
      <c r="B95" s="1" t="s">
        <v>54</v>
      </c>
      <c r="C95" s="18" t="s">
        <v>33</v>
      </c>
      <c r="D95" s="18">
        <v>3123</v>
      </c>
      <c r="E95" s="18" t="s">
        <v>422</v>
      </c>
      <c r="F95" s="18">
        <v>178.2</v>
      </c>
      <c r="G95" s="18">
        <v>500</v>
      </c>
      <c r="H95" s="18">
        <v>17</v>
      </c>
      <c r="I95" s="18"/>
      <c r="J95" s="8">
        <f t="shared" si="2"/>
        <v>8500</v>
      </c>
      <c r="K95" s="27">
        <f t="shared" si="1"/>
        <v>8.9115213239974542E-3</v>
      </c>
      <c r="L95" s="18">
        <v>1.4</v>
      </c>
      <c r="M95" s="18">
        <v>2.2999999999999998</v>
      </c>
      <c r="N95" s="18"/>
      <c r="O95" s="18">
        <v>21.1</v>
      </c>
      <c r="P95" s="18"/>
    </row>
    <row r="96" spans="1:16" x14ac:dyDescent="0.2">
      <c r="A96" s="4">
        <v>46033</v>
      </c>
      <c r="B96" s="1" t="s">
        <v>54</v>
      </c>
      <c r="C96" s="18" t="s">
        <v>20</v>
      </c>
      <c r="D96" s="18">
        <v>3289</v>
      </c>
      <c r="E96" s="18" t="s">
        <v>390</v>
      </c>
      <c r="F96" s="18"/>
      <c r="G96" s="18">
        <v>500</v>
      </c>
      <c r="H96" s="18">
        <v>13</v>
      </c>
      <c r="I96" s="18"/>
      <c r="J96" s="8">
        <f t="shared" si="2"/>
        <v>6500</v>
      </c>
      <c r="K96" s="27">
        <f t="shared" si="1"/>
        <v>0</v>
      </c>
      <c r="L96" s="18">
        <v>2.1</v>
      </c>
      <c r="M96" s="18"/>
      <c r="N96" s="18"/>
      <c r="O96" s="18"/>
      <c r="P96" s="18"/>
    </row>
    <row r="97" spans="1:16" x14ac:dyDescent="0.2">
      <c r="A97" s="4">
        <v>46033</v>
      </c>
      <c r="B97" s="1" t="s">
        <v>54</v>
      </c>
      <c r="C97" s="18" t="s">
        <v>24</v>
      </c>
      <c r="D97" s="18">
        <v>3490</v>
      </c>
      <c r="E97" s="18" t="s">
        <v>408</v>
      </c>
      <c r="F97" s="18">
        <v>314</v>
      </c>
      <c r="G97" s="18">
        <v>2000</v>
      </c>
      <c r="H97" s="18">
        <v>35</v>
      </c>
      <c r="I97" s="18"/>
      <c r="J97" s="8">
        <f t="shared" si="2"/>
        <v>70000</v>
      </c>
      <c r="K97" s="27">
        <f t="shared" si="1"/>
        <v>1.910828025477707E-3</v>
      </c>
      <c r="L97" s="18">
        <v>0.6</v>
      </c>
      <c r="M97" s="18"/>
      <c r="N97" s="18"/>
      <c r="O97" s="18"/>
      <c r="P97" s="18"/>
    </row>
    <row r="98" spans="1:16" x14ac:dyDescent="0.2">
      <c r="A98" s="4">
        <v>46033</v>
      </c>
      <c r="B98" s="1" t="s">
        <v>54</v>
      </c>
      <c r="C98" s="18" t="s">
        <v>27</v>
      </c>
      <c r="D98" s="18">
        <v>3288</v>
      </c>
      <c r="E98" s="18" t="s">
        <v>426</v>
      </c>
      <c r="F98" s="18"/>
      <c r="G98" s="18">
        <v>1000</v>
      </c>
      <c r="H98" s="18">
        <v>1</v>
      </c>
      <c r="I98" s="18">
        <v>870</v>
      </c>
      <c r="J98" s="8">
        <f t="shared" si="2"/>
        <v>1870</v>
      </c>
      <c r="K98" s="27">
        <f t="shared" si="1"/>
        <v>0</v>
      </c>
      <c r="L98" s="18">
        <v>0.2</v>
      </c>
      <c r="M98" s="18"/>
      <c r="N98" s="18"/>
      <c r="O98" s="18"/>
      <c r="P98" s="18"/>
    </row>
    <row r="99" spans="1:16" x14ac:dyDescent="0.2">
      <c r="A99" s="4">
        <v>46033</v>
      </c>
      <c r="B99" s="1" t="s">
        <v>54</v>
      </c>
      <c r="C99" s="18" t="s">
        <v>15</v>
      </c>
      <c r="D99" s="18">
        <v>3413</v>
      </c>
      <c r="E99" s="18" t="s">
        <v>431</v>
      </c>
      <c r="F99" s="18">
        <v>398.2</v>
      </c>
      <c r="G99" s="18">
        <v>600</v>
      </c>
      <c r="H99" s="18">
        <v>35</v>
      </c>
      <c r="I99" s="18">
        <v>500</v>
      </c>
      <c r="J99" s="8">
        <f t="shared" si="2"/>
        <v>21500</v>
      </c>
      <c r="K99" s="27">
        <f t="shared" si="1"/>
        <v>6.0271220492214969E-3</v>
      </c>
      <c r="L99" s="18">
        <v>2.4</v>
      </c>
      <c r="M99" s="18"/>
      <c r="N99" s="18"/>
      <c r="O99" s="18"/>
      <c r="P99" s="18"/>
    </row>
    <row r="100" spans="1:16" x14ac:dyDescent="0.2">
      <c r="A100" s="4">
        <v>46033</v>
      </c>
      <c r="B100" s="1" t="s">
        <v>54</v>
      </c>
      <c r="C100" s="18" t="s">
        <v>20</v>
      </c>
      <c r="D100" s="18">
        <v>3112</v>
      </c>
      <c r="E100" s="18" t="s">
        <v>432</v>
      </c>
      <c r="F100" s="18">
        <v>539</v>
      </c>
      <c r="G100" s="18">
        <v>1000</v>
      </c>
      <c r="H100" s="18">
        <v>30</v>
      </c>
      <c r="I100" s="18">
        <v>460</v>
      </c>
      <c r="J100" s="8">
        <f t="shared" si="2"/>
        <v>30460</v>
      </c>
      <c r="K100" s="27">
        <f t="shared" ref="K100:K163" si="3">IFERROR(L100/(F100-O100)*100%,0)</f>
        <v>1.6326530612244899E-2</v>
      </c>
      <c r="L100" s="18">
        <v>8.8000000000000007</v>
      </c>
      <c r="M100" s="18">
        <v>13.1</v>
      </c>
      <c r="N100" s="18"/>
      <c r="O100" s="18"/>
      <c r="P100" s="18"/>
    </row>
    <row r="101" spans="1:16" x14ac:dyDescent="0.2">
      <c r="A101" s="4">
        <v>46033</v>
      </c>
      <c r="B101" s="1" t="s">
        <v>54</v>
      </c>
      <c r="C101" s="18" t="s">
        <v>27</v>
      </c>
      <c r="D101" s="18">
        <v>3355</v>
      </c>
      <c r="E101" s="18" t="s">
        <v>85</v>
      </c>
      <c r="F101" s="18">
        <v>217</v>
      </c>
      <c r="G101" s="18">
        <v>500</v>
      </c>
      <c r="H101" s="18">
        <v>77</v>
      </c>
      <c r="I101" s="18"/>
      <c r="J101" s="8">
        <f t="shared" si="2"/>
        <v>38500</v>
      </c>
      <c r="K101" s="27">
        <f t="shared" si="3"/>
        <v>2.6728110599078342E-2</v>
      </c>
      <c r="L101" s="18">
        <v>5.8</v>
      </c>
      <c r="M101" s="18">
        <v>18.899999999999999</v>
      </c>
      <c r="N101" s="18"/>
      <c r="O101" s="18"/>
      <c r="P101" s="18"/>
    </row>
    <row r="102" spans="1:16" x14ac:dyDescent="0.2">
      <c r="A102" s="4">
        <v>46033</v>
      </c>
      <c r="B102" s="1" t="s">
        <v>54</v>
      </c>
      <c r="C102" s="18" t="s">
        <v>33</v>
      </c>
      <c r="D102" s="18">
        <v>3144</v>
      </c>
      <c r="E102" s="18" t="s">
        <v>433</v>
      </c>
      <c r="F102" s="18">
        <v>128</v>
      </c>
      <c r="G102" s="18">
        <v>600</v>
      </c>
      <c r="H102" s="18">
        <v>11</v>
      </c>
      <c r="I102" s="18"/>
      <c r="J102" s="8">
        <f t="shared" si="2"/>
        <v>6600</v>
      </c>
      <c r="K102" s="27">
        <f t="shared" si="3"/>
        <v>1.399825021872266E-2</v>
      </c>
      <c r="L102" s="18">
        <v>1.6</v>
      </c>
      <c r="M102" s="18">
        <v>1.7</v>
      </c>
      <c r="N102" s="18"/>
      <c r="O102" s="18">
        <v>13.7</v>
      </c>
      <c r="P102" s="18"/>
    </row>
    <row r="103" spans="1:16" x14ac:dyDescent="0.2">
      <c r="A103" s="4">
        <v>46033</v>
      </c>
      <c r="B103" s="1" t="s">
        <v>54</v>
      </c>
      <c r="C103" s="18" t="s">
        <v>15</v>
      </c>
      <c r="D103" s="18">
        <v>3310</v>
      </c>
      <c r="E103" s="18" t="s">
        <v>249</v>
      </c>
      <c r="F103" s="18">
        <v>342.8</v>
      </c>
      <c r="G103" s="18">
        <v>700</v>
      </c>
      <c r="H103" s="18">
        <v>34</v>
      </c>
      <c r="I103" s="18"/>
      <c r="J103" s="8">
        <f t="shared" si="2"/>
        <v>23800</v>
      </c>
      <c r="K103" s="27">
        <f t="shared" si="3"/>
        <v>2.1586931155192533E-2</v>
      </c>
      <c r="L103" s="18">
        <v>7.4</v>
      </c>
      <c r="M103" s="18"/>
      <c r="N103" s="18"/>
      <c r="O103" s="18"/>
      <c r="P103" s="18"/>
    </row>
    <row r="104" spans="1:16" x14ac:dyDescent="0.2">
      <c r="A104" s="4">
        <v>46033</v>
      </c>
      <c r="B104" s="1" t="s">
        <v>54</v>
      </c>
      <c r="C104" s="18" t="s">
        <v>33</v>
      </c>
      <c r="D104" s="18">
        <v>3207</v>
      </c>
      <c r="E104" s="18" t="s">
        <v>434</v>
      </c>
      <c r="F104" s="18">
        <v>1239.7</v>
      </c>
      <c r="G104" s="18">
        <v>500</v>
      </c>
      <c r="H104" s="18">
        <v>80</v>
      </c>
      <c r="I104" s="18"/>
      <c r="J104" s="8">
        <f t="shared" si="2"/>
        <v>40000</v>
      </c>
      <c r="K104" s="27">
        <f t="shared" si="3"/>
        <v>1.507537688442211E-2</v>
      </c>
      <c r="L104" s="18">
        <v>16.8</v>
      </c>
      <c r="M104" s="18">
        <v>13</v>
      </c>
      <c r="N104" s="18"/>
      <c r="O104" s="18">
        <v>125.3</v>
      </c>
      <c r="P104" s="18"/>
    </row>
    <row r="105" spans="1:16" x14ac:dyDescent="0.2">
      <c r="A105" s="4">
        <v>46033</v>
      </c>
      <c r="B105" s="1" t="s">
        <v>54</v>
      </c>
      <c r="C105" s="18" t="s">
        <v>27</v>
      </c>
      <c r="D105" s="18">
        <v>3376</v>
      </c>
      <c r="E105" s="18" t="s">
        <v>435</v>
      </c>
      <c r="F105" s="18">
        <v>43.7</v>
      </c>
      <c r="G105" s="18">
        <v>1500</v>
      </c>
      <c r="H105" s="18">
        <v>9</v>
      </c>
      <c r="I105" s="18"/>
      <c r="J105" s="8">
        <f t="shared" si="2"/>
        <v>13500</v>
      </c>
      <c r="K105" s="27">
        <f t="shared" si="3"/>
        <v>1.1441647597254004E-2</v>
      </c>
      <c r="L105" s="18">
        <v>0.5</v>
      </c>
      <c r="M105" s="18"/>
      <c r="N105" s="18"/>
      <c r="O105" s="18"/>
      <c r="P105" s="18"/>
    </row>
    <row r="106" spans="1:16" x14ac:dyDescent="0.2">
      <c r="A106" s="4">
        <v>46033</v>
      </c>
      <c r="B106" s="1" t="s">
        <v>54</v>
      </c>
      <c r="C106" s="18" t="s">
        <v>33</v>
      </c>
      <c r="D106" s="18">
        <v>3318</v>
      </c>
      <c r="E106" s="18" t="s">
        <v>436</v>
      </c>
      <c r="F106" s="18">
        <v>451.4</v>
      </c>
      <c r="G106" s="18">
        <v>500</v>
      </c>
      <c r="H106" s="18">
        <v>31</v>
      </c>
      <c r="I106" s="18">
        <v>475</v>
      </c>
      <c r="J106" s="8">
        <f t="shared" si="2"/>
        <v>15975</v>
      </c>
      <c r="K106" s="27">
        <f t="shared" si="3"/>
        <v>4.503377533149863E-3</v>
      </c>
      <c r="L106" s="18">
        <v>1.8</v>
      </c>
      <c r="M106" s="18">
        <v>1.7</v>
      </c>
      <c r="N106" s="18"/>
      <c r="O106" s="18">
        <v>51.7</v>
      </c>
      <c r="P106" s="18"/>
    </row>
    <row r="107" spans="1:16" x14ac:dyDescent="0.2">
      <c r="A107" s="4">
        <v>46033</v>
      </c>
      <c r="B107" s="1" t="s">
        <v>54</v>
      </c>
      <c r="C107" s="18" t="s">
        <v>33</v>
      </c>
      <c r="D107" s="18">
        <v>3309</v>
      </c>
      <c r="E107" s="18" t="s">
        <v>437</v>
      </c>
      <c r="F107" s="18">
        <v>29.1</v>
      </c>
      <c r="G107" s="18">
        <v>1000</v>
      </c>
      <c r="H107" s="18">
        <v>2</v>
      </c>
      <c r="I107" s="18"/>
      <c r="J107" s="8">
        <f t="shared" si="2"/>
        <v>2000</v>
      </c>
      <c r="K107" s="27">
        <f t="shared" si="3"/>
        <v>4.9792531120331947E-2</v>
      </c>
      <c r="L107" s="18">
        <v>1.2</v>
      </c>
      <c r="M107" s="18"/>
      <c r="N107" s="18"/>
      <c r="O107" s="18">
        <v>5</v>
      </c>
      <c r="P107" s="18"/>
    </row>
    <row r="108" spans="1:16" x14ac:dyDescent="0.2">
      <c r="A108" s="4">
        <v>46034</v>
      </c>
      <c r="B108" s="1" t="s">
        <v>14</v>
      </c>
      <c r="C108" s="18" t="s">
        <v>15</v>
      </c>
      <c r="D108" s="18">
        <v>3310</v>
      </c>
      <c r="E108" s="18" t="s">
        <v>249</v>
      </c>
      <c r="F108" s="18">
        <v>21.7</v>
      </c>
      <c r="G108" s="18">
        <v>700</v>
      </c>
      <c r="H108" s="18">
        <v>2</v>
      </c>
      <c r="I108" s="18">
        <v>100</v>
      </c>
      <c r="J108" s="8">
        <f t="shared" si="2"/>
        <v>1500</v>
      </c>
      <c r="K108" s="27">
        <f t="shared" si="3"/>
        <v>3.2258064516129031E-2</v>
      </c>
      <c r="L108" s="18">
        <v>0.7</v>
      </c>
      <c r="M108" s="18"/>
      <c r="N108" s="18"/>
      <c r="O108" s="18"/>
      <c r="P108" s="18"/>
    </row>
    <row r="109" spans="1:16" x14ac:dyDescent="0.2">
      <c r="A109" s="4">
        <v>46034</v>
      </c>
      <c r="B109" s="1" t="s">
        <v>14</v>
      </c>
      <c r="C109" s="18" t="s">
        <v>15</v>
      </c>
      <c r="D109" s="18">
        <v>3273</v>
      </c>
      <c r="E109" s="18" t="s">
        <v>438</v>
      </c>
      <c r="F109" s="18">
        <v>370.2</v>
      </c>
      <c r="G109" s="18">
        <v>900</v>
      </c>
      <c r="H109" s="18">
        <v>25</v>
      </c>
      <c r="I109" s="18">
        <v>850</v>
      </c>
      <c r="J109" s="8">
        <f t="shared" si="2"/>
        <v>23350</v>
      </c>
      <c r="K109" s="27">
        <f t="shared" si="3"/>
        <v>1.3776337115072933E-2</v>
      </c>
      <c r="L109" s="18">
        <v>5.0999999999999996</v>
      </c>
      <c r="M109" s="18"/>
      <c r="N109" s="18"/>
      <c r="O109" s="18"/>
      <c r="P109" s="18"/>
    </row>
    <row r="110" spans="1:16" x14ac:dyDescent="0.2">
      <c r="A110" s="4">
        <v>46034</v>
      </c>
      <c r="B110" s="1" t="s">
        <v>14</v>
      </c>
      <c r="C110" s="18" t="s">
        <v>15</v>
      </c>
      <c r="D110" s="18">
        <v>3028</v>
      </c>
      <c r="E110" s="18" t="s">
        <v>439</v>
      </c>
      <c r="F110" s="18">
        <v>112.3</v>
      </c>
      <c r="G110" s="18">
        <v>1000</v>
      </c>
      <c r="H110" s="18">
        <v>21</v>
      </c>
      <c r="I110" s="18"/>
      <c r="J110" s="8">
        <f t="shared" si="2"/>
        <v>21000</v>
      </c>
      <c r="K110" s="27">
        <f t="shared" si="3"/>
        <v>1.068566340160285E-2</v>
      </c>
      <c r="L110" s="18">
        <v>1.2</v>
      </c>
      <c r="M110" s="18">
        <v>3.1</v>
      </c>
      <c r="N110" s="18"/>
      <c r="O110" s="18"/>
      <c r="P110" s="18"/>
    </row>
    <row r="111" spans="1:16" x14ac:dyDescent="0.2">
      <c r="A111" s="4">
        <v>46034</v>
      </c>
      <c r="B111" s="1" t="s">
        <v>14</v>
      </c>
      <c r="C111" s="18" t="s">
        <v>20</v>
      </c>
      <c r="D111" s="18">
        <v>3289</v>
      </c>
      <c r="E111" s="18" t="s">
        <v>390</v>
      </c>
      <c r="F111" s="18">
        <v>2250</v>
      </c>
      <c r="G111" s="18">
        <v>500</v>
      </c>
      <c r="H111" s="18">
        <v>140</v>
      </c>
      <c r="I111" s="18"/>
      <c r="J111" s="8">
        <f t="shared" si="2"/>
        <v>70000</v>
      </c>
      <c r="K111" s="27">
        <f t="shared" si="3"/>
        <v>1.2800000000000001E-2</v>
      </c>
      <c r="L111" s="18">
        <v>28.8</v>
      </c>
      <c r="M111" s="18"/>
      <c r="N111" s="18"/>
      <c r="O111" s="18"/>
      <c r="P111" s="18" t="s">
        <v>440</v>
      </c>
    </row>
    <row r="112" spans="1:16" x14ac:dyDescent="0.2">
      <c r="A112" s="4">
        <v>46034</v>
      </c>
      <c r="B112" s="1" t="s">
        <v>14</v>
      </c>
      <c r="C112" s="18" t="s">
        <v>24</v>
      </c>
      <c r="D112" s="18">
        <v>3490</v>
      </c>
      <c r="E112" s="18" t="s">
        <v>408</v>
      </c>
      <c r="F112" s="18">
        <v>124.4</v>
      </c>
      <c r="G112" s="18">
        <v>2000</v>
      </c>
      <c r="H112" s="18">
        <v>16</v>
      </c>
      <c r="I112" s="18">
        <v>650</v>
      </c>
      <c r="J112" s="8">
        <f t="shared" si="2"/>
        <v>32650</v>
      </c>
      <c r="K112" s="27">
        <f t="shared" si="3"/>
        <v>4.0192926045016075E-3</v>
      </c>
      <c r="L112" s="18">
        <v>0.5</v>
      </c>
      <c r="M112" s="18"/>
      <c r="N112" s="18"/>
      <c r="O112" s="18"/>
      <c r="P112" s="18"/>
    </row>
    <row r="113" spans="1:16" x14ac:dyDescent="0.2">
      <c r="A113" s="4">
        <v>46034</v>
      </c>
      <c r="B113" s="1" t="s">
        <v>14</v>
      </c>
      <c r="C113" s="18" t="s">
        <v>24</v>
      </c>
      <c r="D113" s="18">
        <v>3386</v>
      </c>
      <c r="E113" s="18" t="s">
        <v>78</v>
      </c>
      <c r="F113" s="18">
        <v>350.1</v>
      </c>
      <c r="G113" s="18">
        <v>1000</v>
      </c>
      <c r="H113" s="18">
        <v>55</v>
      </c>
      <c r="I113" s="18"/>
      <c r="J113" s="8">
        <f t="shared" si="2"/>
        <v>55000</v>
      </c>
      <c r="K113" s="27">
        <f t="shared" si="3"/>
        <v>0</v>
      </c>
      <c r="L113" s="18"/>
      <c r="M113" s="18">
        <v>5.3</v>
      </c>
      <c r="N113" s="18"/>
      <c r="O113" s="18"/>
      <c r="P113" s="18"/>
    </row>
    <row r="114" spans="1:16" x14ac:dyDescent="0.2">
      <c r="A114" s="4">
        <v>46034</v>
      </c>
      <c r="B114" s="1" t="s">
        <v>14</v>
      </c>
      <c r="C114" s="18" t="s">
        <v>27</v>
      </c>
      <c r="D114" s="18">
        <v>3376</v>
      </c>
      <c r="E114" s="18" t="s">
        <v>435</v>
      </c>
      <c r="F114" s="18">
        <v>87.8</v>
      </c>
      <c r="G114" s="18">
        <v>1500</v>
      </c>
      <c r="H114" s="18">
        <v>40</v>
      </c>
      <c r="I114" s="18">
        <v>1000</v>
      </c>
      <c r="J114" s="8">
        <f t="shared" si="2"/>
        <v>61000</v>
      </c>
      <c r="K114" s="27">
        <f t="shared" si="3"/>
        <v>1.7084282460136675E-2</v>
      </c>
      <c r="L114" s="18">
        <v>1.5</v>
      </c>
      <c r="M114" s="18"/>
      <c r="N114" s="18"/>
      <c r="O114" s="18"/>
      <c r="P114" s="18"/>
    </row>
    <row r="115" spans="1:16" x14ac:dyDescent="0.2">
      <c r="A115" s="4">
        <v>46034</v>
      </c>
      <c r="B115" s="1" t="s">
        <v>14</v>
      </c>
      <c r="C115" s="18" t="s">
        <v>27</v>
      </c>
      <c r="D115" s="18">
        <v>3269</v>
      </c>
      <c r="E115" s="18" t="s">
        <v>441</v>
      </c>
      <c r="F115" s="18">
        <v>47.2</v>
      </c>
      <c r="G115" s="18">
        <v>1000</v>
      </c>
      <c r="H115" s="18">
        <v>3</v>
      </c>
      <c r="I115" s="18"/>
      <c r="J115" s="8">
        <f t="shared" si="2"/>
        <v>3000</v>
      </c>
      <c r="K115" s="27">
        <f t="shared" si="3"/>
        <v>9.9576271186440676E-2</v>
      </c>
      <c r="L115" s="18">
        <v>4.7</v>
      </c>
      <c r="M115" s="18"/>
      <c r="N115" s="18"/>
      <c r="O115" s="18"/>
      <c r="P115" s="18"/>
    </row>
    <row r="116" spans="1:16" x14ac:dyDescent="0.2">
      <c r="A116" s="4">
        <v>46034</v>
      </c>
      <c r="B116" s="1" t="s">
        <v>14</v>
      </c>
      <c r="C116" s="18" t="s">
        <v>33</v>
      </c>
      <c r="D116" s="18">
        <v>3309</v>
      </c>
      <c r="E116" s="18" t="s">
        <v>437</v>
      </c>
      <c r="F116" s="18">
        <v>163.80000000000001</v>
      </c>
      <c r="G116" s="18">
        <v>500</v>
      </c>
      <c r="H116" s="18">
        <v>17</v>
      </c>
      <c r="I116" s="18">
        <v>250</v>
      </c>
      <c r="J116" s="8">
        <f t="shared" si="2"/>
        <v>8750</v>
      </c>
      <c r="K116" s="27">
        <f t="shared" si="3"/>
        <v>2.7797081306462822E-2</v>
      </c>
      <c r="L116" s="18">
        <v>4</v>
      </c>
      <c r="M116" s="18">
        <v>3.3</v>
      </c>
      <c r="N116" s="18"/>
      <c r="O116" s="18">
        <v>19.899999999999999</v>
      </c>
      <c r="P116" s="18"/>
    </row>
    <row r="117" spans="1:16" x14ac:dyDescent="0.2">
      <c r="A117" s="4">
        <v>46034</v>
      </c>
      <c r="B117" s="1" t="s">
        <v>14</v>
      </c>
      <c r="C117" s="18" t="s">
        <v>33</v>
      </c>
      <c r="D117" s="18">
        <v>3302</v>
      </c>
      <c r="E117" s="18" t="s">
        <v>442</v>
      </c>
      <c r="F117" s="18">
        <v>508.1</v>
      </c>
      <c r="G117" s="18">
        <v>900</v>
      </c>
      <c r="H117" s="18">
        <v>44</v>
      </c>
      <c r="I117" s="18">
        <v>620</v>
      </c>
      <c r="J117" s="8">
        <f t="shared" si="2"/>
        <v>40220</v>
      </c>
      <c r="K117" s="27">
        <f t="shared" si="3"/>
        <v>1.8395033340997929E-2</v>
      </c>
      <c r="L117" s="18">
        <v>8</v>
      </c>
      <c r="M117" s="18">
        <v>14.2</v>
      </c>
      <c r="N117" s="18">
        <v>2</v>
      </c>
      <c r="O117" s="18">
        <v>73.2</v>
      </c>
      <c r="P117" s="18"/>
    </row>
    <row r="118" spans="1:16" x14ac:dyDescent="0.2">
      <c r="A118" s="4">
        <v>46034</v>
      </c>
      <c r="B118" s="1" t="s">
        <v>14</v>
      </c>
      <c r="C118" s="18" t="s">
        <v>33</v>
      </c>
      <c r="D118" s="18">
        <v>3089</v>
      </c>
      <c r="E118" s="18" t="s">
        <v>443</v>
      </c>
      <c r="F118" s="18">
        <v>225.3</v>
      </c>
      <c r="G118" s="18">
        <v>500</v>
      </c>
      <c r="H118" s="18">
        <v>19</v>
      </c>
      <c r="I118" s="18">
        <v>375</v>
      </c>
      <c r="J118" s="8">
        <f t="shared" si="2"/>
        <v>9875</v>
      </c>
      <c r="K118" s="27">
        <f t="shared" si="3"/>
        <v>1.1669203450025365E-2</v>
      </c>
      <c r="L118" s="18">
        <v>2.2999999999999998</v>
      </c>
      <c r="M118" s="18">
        <v>1.5</v>
      </c>
      <c r="N118" s="18"/>
      <c r="O118" s="18">
        <v>28.2</v>
      </c>
      <c r="P118" s="18"/>
    </row>
    <row r="119" spans="1:16" x14ac:dyDescent="0.2">
      <c r="A119" s="4">
        <v>46034</v>
      </c>
      <c r="B119" s="1" t="s">
        <v>14</v>
      </c>
      <c r="C119" s="18" t="s">
        <v>33</v>
      </c>
      <c r="D119" s="18">
        <v>3088</v>
      </c>
      <c r="E119" s="18" t="s">
        <v>444</v>
      </c>
      <c r="F119" s="18">
        <v>100.2</v>
      </c>
      <c r="G119" s="18">
        <v>500</v>
      </c>
      <c r="H119" s="18">
        <v>12</v>
      </c>
      <c r="I119" s="18"/>
      <c r="J119" s="8">
        <f t="shared" si="2"/>
        <v>6000</v>
      </c>
      <c r="K119" s="27">
        <f t="shared" si="3"/>
        <v>6.749156355455567E-2</v>
      </c>
      <c r="L119" s="18">
        <v>6</v>
      </c>
      <c r="M119" s="18">
        <v>3.1</v>
      </c>
      <c r="N119" s="18"/>
      <c r="O119" s="18">
        <v>11.3</v>
      </c>
      <c r="P119" s="18"/>
    </row>
    <row r="120" spans="1:16" x14ac:dyDescent="0.2">
      <c r="A120" s="4">
        <v>46035</v>
      </c>
      <c r="B120" s="1" t="s">
        <v>40</v>
      </c>
      <c r="C120" s="18" t="s">
        <v>24</v>
      </c>
      <c r="D120" s="18">
        <v>3386</v>
      </c>
      <c r="E120" s="18" t="s">
        <v>78</v>
      </c>
      <c r="F120" s="18">
        <v>138.6</v>
      </c>
      <c r="G120" s="18">
        <v>1000</v>
      </c>
      <c r="H120" s="18">
        <v>22</v>
      </c>
      <c r="I120" s="18">
        <v>500</v>
      </c>
      <c r="J120" s="8">
        <f t="shared" si="2"/>
        <v>22500</v>
      </c>
      <c r="K120" s="27">
        <f t="shared" si="3"/>
        <v>8.658008658008658E-3</v>
      </c>
      <c r="L120" s="18">
        <v>1.2</v>
      </c>
      <c r="M120" s="18"/>
      <c r="N120" s="18"/>
      <c r="O120" s="18"/>
      <c r="P120" s="18"/>
    </row>
    <row r="121" spans="1:16" x14ac:dyDescent="0.2">
      <c r="A121" s="4">
        <v>46035</v>
      </c>
      <c r="B121" s="1" t="s">
        <v>40</v>
      </c>
      <c r="C121" s="18" t="s">
        <v>24</v>
      </c>
      <c r="D121" s="18">
        <v>3411</v>
      </c>
      <c r="E121" s="18" t="s">
        <v>445</v>
      </c>
      <c r="F121" s="18">
        <v>176.5</v>
      </c>
      <c r="G121" s="18">
        <v>4000</v>
      </c>
      <c r="H121" s="18">
        <v>23</v>
      </c>
      <c r="I121" s="18"/>
      <c r="J121" s="8">
        <f t="shared" si="2"/>
        <v>92000</v>
      </c>
      <c r="K121" s="27">
        <f t="shared" si="3"/>
        <v>2.8328611898016999E-3</v>
      </c>
      <c r="L121" s="18">
        <v>0.5</v>
      </c>
      <c r="M121" s="18"/>
      <c r="N121" s="18"/>
      <c r="O121" s="18"/>
      <c r="P121" s="18"/>
    </row>
    <row r="122" spans="1:16" x14ac:dyDescent="0.2">
      <c r="A122" s="4">
        <v>46035</v>
      </c>
      <c r="B122" s="1" t="s">
        <v>40</v>
      </c>
      <c r="C122" s="18" t="s">
        <v>27</v>
      </c>
      <c r="D122" s="18">
        <v>3269</v>
      </c>
      <c r="E122" s="18" t="s">
        <v>441</v>
      </c>
      <c r="F122" s="18">
        <v>669.4</v>
      </c>
      <c r="G122" s="18">
        <v>1000</v>
      </c>
      <c r="H122" s="18">
        <v>50</v>
      </c>
      <c r="I122" s="18">
        <v>500</v>
      </c>
      <c r="J122" s="8">
        <f t="shared" si="2"/>
        <v>50500</v>
      </c>
      <c r="K122" s="27">
        <f t="shared" si="3"/>
        <v>0</v>
      </c>
      <c r="L122" s="18"/>
      <c r="M122" s="18">
        <v>9.5</v>
      </c>
      <c r="N122" s="18">
        <v>7.6</v>
      </c>
      <c r="O122" s="18"/>
      <c r="P122" s="18"/>
    </row>
    <row r="123" spans="1:16" x14ac:dyDescent="0.2">
      <c r="A123" s="4">
        <v>46035</v>
      </c>
      <c r="B123" s="1" t="s">
        <v>40</v>
      </c>
      <c r="C123" s="18" t="s">
        <v>20</v>
      </c>
      <c r="D123" s="18">
        <v>3289</v>
      </c>
      <c r="E123" s="18" t="s">
        <v>446</v>
      </c>
      <c r="F123" s="18">
        <v>1113.7</v>
      </c>
      <c r="G123" s="18">
        <v>500</v>
      </c>
      <c r="H123" s="18">
        <v>67</v>
      </c>
      <c r="I123" s="18"/>
      <c r="J123" s="8">
        <f t="shared" si="2"/>
        <v>33500</v>
      </c>
      <c r="K123" s="27">
        <f t="shared" si="3"/>
        <v>3.8610038610038607E-3</v>
      </c>
      <c r="L123" s="18">
        <v>4.3</v>
      </c>
      <c r="M123" s="18"/>
      <c r="N123" s="18"/>
      <c r="O123" s="18"/>
      <c r="P123" s="18"/>
    </row>
    <row r="124" spans="1:16" x14ac:dyDescent="0.2">
      <c r="A124" s="4">
        <v>46035</v>
      </c>
      <c r="B124" s="1" t="s">
        <v>40</v>
      </c>
      <c r="C124" s="18" t="s">
        <v>15</v>
      </c>
      <c r="D124" s="18">
        <v>3028</v>
      </c>
      <c r="E124" s="18" t="s">
        <v>439</v>
      </c>
      <c r="F124" s="18">
        <v>26</v>
      </c>
      <c r="G124" s="18">
        <v>1000</v>
      </c>
      <c r="H124" s="18">
        <v>5</v>
      </c>
      <c r="I124" s="18">
        <v>550</v>
      </c>
      <c r="J124" s="8">
        <f t="shared" si="2"/>
        <v>5550</v>
      </c>
      <c r="K124" s="27">
        <f t="shared" si="3"/>
        <v>2.3076923076923075E-2</v>
      </c>
      <c r="L124" s="18">
        <v>0.6</v>
      </c>
      <c r="M124" s="18">
        <v>0.6</v>
      </c>
      <c r="N124" s="18"/>
      <c r="O124" s="18"/>
      <c r="P124" s="18"/>
    </row>
    <row r="125" spans="1:16" x14ac:dyDescent="0.2">
      <c r="A125" s="4">
        <v>46035</v>
      </c>
      <c r="B125" s="1" t="s">
        <v>40</v>
      </c>
      <c r="C125" s="18" t="s">
        <v>15</v>
      </c>
      <c r="D125" s="18">
        <v>3457</v>
      </c>
      <c r="E125" s="18" t="s">
        <v>447</v>
      </c>
      <c r="F125" s="18">
        <v>266.39999999999998</v>
      </c>
      <c r="G125" s="18">
        <v>2000</v>
      </c>
      <c r="H125" s="18">
        <v>14</v>
      </c>
      <c r="I125" s="18">
        <v>1350</v>
      </c>
      <c r="J125" s="8">
        <f t="shared" si="2"/>
        <v>29350</v>
      </c>
      <c r="K125" s="27">
        <f t="shared" si="3"/>
        <v>1.6891891891891893E-2</v>
      </c>
      <c r="L125" s="18">
        <v>4.5</v>
      </c>
      <c r="M125" s="18"/>
      <c r="N125" s="18">
        <v>1.8</v>
      </c>
      <c r="O125" s="18"/>
      <c r="P125" s="18"/>
    </row>
    <row r="126" spans="1:16" x14ac:dyDescent="0.2">
      <c r="A126" s="4">
        <v>46035</v>
      </c>
      <c r="B126" s="1" t="s">
        <v>40</v>
      </c>
      <c r="C126" s="18" t="s">
        <v>15</v>
      </c>
      <c r="D126" s="18">
        <v>3464</v>
      </c>
      <c r="E126" s="18" t="s">
        <v>305</v>
      </c>
      <c r="F126" s="18">
        <v>234.9</v>
      </c>
      <c r="G126" s="18">
        <v>250</v>
      </c>
      <c r="H126" s="18">
        <v>13</v>
      </c>
      <c r="I126" s="18"/>
      <c r="J126" s="8">
        <f t="shared" si="2"/>
        <v>3250</v>
      </c>
      <c r="K126" s="27">
        <f t="shared" si="3"/>
        <v>1.0642826734780758E-2</v>
      </c>
      <c r="L126" s="18">
        <v>2.5</v>
      </c>
      <c r="M126" s="18"/>
      <c r="N126" s="18"/>
      <c r="O126" s="18"/>
      <c r="P126" s="18"/>
    </row>
    <row r="127" spans="1:16" x14ac:dyDescent="0.2">
      <c r="A127" s="4">
        <v>46035</v>
      </c>
      <c r="B127" s="1" t="s">
        <v>40</v>
      </c>
      <c r="C127" s="18" t="s">
        <v>15</v>
      </c>
      <c r="D127" s="18">
        <v>3437</v>
      </c>
      <c r="E127" s="18" t="s">
        <v>159</v>
      </c>
      <c r="F127" s="18">
        <v>394.5</v>
      </c>
      <c r="G127" s="18">
        <v>600</v>
      </c>
      <c r="H127" s="18">
        <v>42</v>
      </c>
      <c r="I127" s="18">
        <v>550</v>
      </c>
      <c r="J127" s="8">
        <f t="shared" si="2"/>
        <v>25750</v>
      </c>
      <c r="K127" s="27">
        <f t="shared" si="3"/>
        <v>1.2927756653992395E-2</v>
      </c>
      <c r="L127" s="18">
        <v>5.0999999999999996</v>
      </c>
      <c r="M127" s="18"/>
      <c r="N127" s="18">
        <v>28.1</v>
      </c>
      <c r="O127" s="18"/>
      <c r="P127" s="18"/>
    </row>
    <row r="128" spans="1:16" x14ac:dyDescent="0.2">
      <c r="A128" s="4">
        <v>46035</v>
      </c>
      <c r="B128" s="1" t="s">
        <v>40</v>
      </c>
      <c r="C128" s="18" t="s">
        <v>33</v>
      </c>
      <c r="D128" s="18">
        <v>3088</v>
      </c>
      <c r="E128" s="18" t="s">
        <v>448</v>
      </c>
      <c r="F128" s="18">
        <v>53.3</v>
      </c>
      <c r="G128" s="18">
        <v>500</v>
      </c>
      <c r="H128" s="18">
        <v>7</v>
      </c>
      <c r="I128" s="18"/>
      <c r="J128" s="8">
        <f t="shared" si="2"/>
        <v>3500</v>
      </c>
      <c r="K128" s="27">
        <f t="shared" si="3"/>
        <v>3.6170212765957444E-2</v>
      </c>
      <c r="L128" s="18">
        <v>1.7</v>
      </c>
      <c r="M128" s="18">
        <v>1.3</v>
      </c>
      <c r="N128" s="18"/>
      <c r="O128" s="18">
        <v>6.3</v>
      </c>
      <c r="P128" s="18"/>
    </row>
    <row r="129" spans="1:16" x14ac:dyDescent="0.2">
      <c r="A129" s="4">
        <v>46035</v>
      </c>
      <c r="B129" s="1" t="s">
        <v>40</v>
      </c>
      <c r="C129" s="18" t="s">
        <v>33</v>
      </c>
      <c r="D129" s="18" t="s">
        <v>449</v>
      </c>
      <c r="E129" s="18" t="s">
        <v>189</v>
      </c>
      <c r="F129" s="18">
        <v>82.2</v>
      </c>
      <c r="G129" s="18">
        <v>500</v>
      </c>
      <c r="H129" s="18">
        <v>10</v>
      </c>
      <c r="I129" s="18"/>
      <c r="J129" s="8">
        <f t="shared" si="2"/>
        <v>5000</v>
      </c>
      <c r="K129" s="27">
        <f t="shared" si="3"/>
        <v>1.4598540145985401E-2</v>
      </c>
      <c r="L129" s="18">
        <v>1.2</v>
      </c>
      <c r="M129" s="18"/>
      <c r="N129" s="18">
        <v>11.7</v>
      </c>
      <c r="O129" s="18"/>
      <c r="P129" s="18"/>
    </row>
    <row r="130" spans="1:16" x14ac:dyDescent="0.2">
      <c r="A130" s="4">
        <v>46035</v>
      </c>
      <c r="B130" s="1" t="s">
        <v>40</v>
      </c>
      <c r="C130" s="18" t="s">
        <v>33</v>
      </c>
      <c r="D130" s="18">
        <v>3076</v>
      </c>
      <c r="E130" s="18" t="s">
        <v>450</v>
      </c>
      <c r="F130" s="18">
        <v>635.9</v>
      </c>
      <c r="G130" s="18">
        <v>500</v>
      </c>
      <c r="H130" s="18">
        <v>76</v>
      </c>
      <c r="I130" s="18">
        <v>200</v>
      </c>
      <c r="J130" s="8">
        <f t="shared" ref="J130:J191" si="4">G130*H130+I130</f>
        <v>38200</v>
      </c>
      <c r="K130" s="27">
        <f t="shared" si="3"/>
        <v>1.377952755905512E-2</v>
      </c>
      <c r="L130" s="18">
        <v>7.7</v>
      </c>
      <c r="M130" s="18">
        <v>5.8</v>
      </c>
      <c r="N130" s="18">
        <v>3.1</v>
      </c>
      <c r="O130" s="18">
        <v>77.099999999999994</v>
      </c>
      <c r="P130" s="18"/>
    </row>
    <row r="131" spans="1:16" x14ac:dyDescent="0.2">
      <c r="A131" s="4">
        <v>46035</v>
      </c>
      <c r="B131" s="1" t="s">
        <v>40</v>
      </c>
      <c r="C131" s="18" t="s">
        <v>33</v>
      </c>
      <c r="D131" s="18">
        <v>3155</v>
      </c>
      <c r="E131" s="18" t="s">
        <v>451</v>
      </c>
      <c r="F131" s="18">
        <v>357</v>
      </c>
      <c r="G131" s="18">
        <v>500</v>
      </c>
      <c r="H131" s="18">
        <v>44</v>
      </c>
      <c r="I131" s="18"/>
      <c r="J131" s="8">
        <f t="shared" si="4"/>
        <v>22000</v>
      </c>
      <c r="K131" s="27">
        <f t="shared" si="3"/>
        <v>1.8023817186997103E-2</v>
      </c>
      <c r="L131" s="18">
        <v>5.6</v>
      </c>
      <c r="M131" s="18"/>
      <c r="N131" s="18">
        <v>2</v>
      </c>
      <c r="O131" s="18">
        <v>46.3</v>
      </c>
      <c r="P131" s="18"/>
    </row>
    <row r="132" spans="1:16" x14ac:dyDescent="0.2">
      <c r="A132" s="4">
        <v>46035</v>
      </c>
      <c r="B132" s="1" t="s">
        <v>40</v>
      </c>
      <c r="C132" s="18" t="s">
        <v>20</v>
      </c>
      <c r="D132" s="18">
        <v>3432</v>
      </c>
      <c r="E132" s="18" t="s">
        <v>452</v>
      </c>
      <c r="F132" s="18"/>
      <c r="G132" s="18">
        <v>1000</v>
      </c>
      <c r="H132" s="18">
        <v>5</v>
      </c>
      <c r="I132" s="18"/>
      <c r="J132" s="8">
        <f t="shared" si="4"/>
        <v>5000</v>
      </c>
      <c r="K132" s="27">
        <f t="shared" si="3"/>
        <v>0</v>
      </c>
      <c r="L132" s="18"/>
      <c r="M132" s="18"/>
      <c r="N132" s="18"/>
      <c r="O132" s="18"/>
      <c r="P132" s="18"/>
    </row>
    <row r="133" spans="1:16" x14ac:dyDescent="0.2">
      <c r="A133" s="4">
        <v>46035</v>
      </c>
      <c r="B133" s="1" t="s">
        <v>40</v>
      </c>
      <c r="C133" s="18" t="s">
        <v>33</v>
      </c>
      <c r="D133" s="18">
        <v>3411</v>
      </c>
      <c r="E133" s="18" t="s">
        <v>445</v>
      </c>
      <c r="F133" s="18">
        <v>52</v>
      </c>
      <c r="G133" s="18">
        <v>500</v>
      </c>
      <c r="H133" s="18">
        <v>9</v>
      </c>
      <c r="I133" s="18"/>
      <c r="J133" s="8">
        <f t="shared" si="4"/>
        <v>4500</v>
      </c>
      <c r="K133" s="27">
        <f t="shared" si="3"/>
        <v>0</v>
      </c>
      <c r="L133" s="18"/>
      <c r="M133" s="18"/>
      <c r="N133" s="18"/>
      <c r="O133" s="18"/>
      <c r="P133" s="18"/>
    </row>
    <row r="134" spans="1:16" x14ac:dyDescent="0.2">
      <c r="A134" s="4">
        <v>46035</v>
      </c>
      <c r="B134" s="1" t="s">
        <v>40</v>
      </c>
      <c r="C134" s="18" t="s">
        <v>15</v>
      </c>
      <c r="D134" s="18">
        <v>3078</v>
      </c>
      <c r="E134" s="18" t="s">
        <v>453</v>
      </c>
      <c r="F134" s="18">
        <v>44</v>
      </c>
      <c r="G134" s="18">
        <v>2000</v>
      </c>
      <c r="H134" s="18">
        <v>4</v>
      </c>
      <c r="I134" s="18"/>
      <c r="J134" s="8">
        <f t="shared" si="4"/>
        <v>8000</v>
      </c>
      <c r="K134" s="27">
        <f t="shared" si="3"/>
        <v>1.1363636363636364E-2</v>
      </c>
      <c r="L134" s="18">
        <v>0.5</v>
      </c>
      <c r="M134" s="18"/>
      <c r="N134" s="18"/>
      <c r="O134" s="18"/>
      <c r="P134" s="18"/>
    </row>
    <row r="135" spans="1:16" x14ac:dyDescent="0.2">
      <c r="A135" s="4">
        <v>46036</v>
      </c>
      <c r="B135" s="1" t="s">
        <v>54</v>
      </c>
      <c r="C135" s="18" t="s">
        <v>15</v>
      </c>
      <c r="D135" s="18">
        <v>3078</v>
      </c>
      <c r="E135" s="18" t="s">
        <v>453</v>
      </c>
      <c r="F135" s="18">
        <v>306.89999999999998</v>
      </c>
      <c r="G135" s="18">
        <v>2000</v>
      </c>
      <c r="H135" s="18">
        <v>23</v>
      </c>
      <c r="I135" s="18"/>
      <c r="J135" s="8">
        <f t="shared" si="4"/>
        <v>46000</v>
      </c>
      <c r="K135" s="27">
        <f t="shared" si="3"/>
        <v>8.1459758879113726E-3</v>
      </c>
      <c r="L135" s="18">
        <v>2.5</v>
      </c>
      <c r="M135" s="18">
        <v>4</v>
      </c>
      <c r="N135" s="18"/>
      <c r="O135" s="18"/>
      <c r="P135" s="18"/>
    </row>
    <row r="136" spans="1:16" x14ac:dyDescent="0.2">
      <c r="A136" s="4">
        <v>46036</v>
      </c>
      <c r="B136" s="1" t="s">
        <v>54</v>
      </c>
      <c r="C136" s="18" t="s">
        <v>20</v>
      </c>
      <c r="D136" s="18">
        <v>3289</v>
      </c>
      <c r="E136" s="18" t="s">
        <v>446</v>
      </c>
      <c r="F136" s="18">
        <v>103.6</v>
      </c>
      <c r="G136" s="18">
        <v>500</v>
      </c>
      <c r="H136" s="18">
        <v>7</v>
      </c>
      <c r="I136" s="18">
        <v>560</v>
      </c>
      <c r="J136" s="8">
        <f t="shared" si="4"/>
        <v>4060</v>
      </c>
      <c r="K136" s="27">
        <f t="shared" si="3"/>
        <v>5.7915057915057912E-3</v>
      </c>
      <c r="L136" s="18">
        <v>0.6</v>
      </c>
      <c r="M136" s="18"/>
      <c r="N136" s="18"/>
      <c r="O136" s="18"/>
      <c r="P136" s="18"/>
    </row>
    <row r="137" spans="1:16" x14ac:dyDescent="0.2">
      <c r="A137" s="4">
        <v>46036</v>
      </c>
      <c r="B137" s="1" t="s">
        <v>54</v>
      </c>
      <c r="C137" s="18" t="s">
        <v>24</v>
      </c>
      <c r="D137" s="18">
        <v>3411</v>
      </c>
      <c r="E137" s="18" t="s">
        <v>445</v>
      </c>
      <c r="F137" s="18">
        <v>213</v>
      </c>
      <c r="G137" s="18">
        <v>4000</v>
      </c>
      <c r="H137" s="18">
        <v>26</v>
      </c>
      <c r="I137" s="18">
        <v>2350</v>
      </c>
      <c r="J137" s="8">
        <f t="shared" si="4"/>
        <v>106350</v>
      </c>
      <c r="K137" s="27">
        <f t="shared" si="3"/>
        <v>2.3474178403755869E-3</v>
      </c>
      <c r="L137" s="18">
        <v>0.5</v>
      </c>
      <c r="M137" s="18"/>
      <c r="N137" s="18"/>
      <c r="O137" s="18"/>
      <c r="P137" s="18"/>
    </row>
    <row r="138" spans="1:16" x14ac:dyDescent="0.2">
      <c r="A138" s="4">
        <v>46036</v>
      </c>
      <c r="B138" s="1" t="s">
        <v>54</v>
      </c>
      <c r="C138" s="18" t="s">
        <v>27</v>
      </c>
      <c r="D138" s="18">
        <v>3297</v>
      </c>
      <c r="E138" s="18" t="s">
        <v>454</v>
      </c>
      <c r="F138" s="18">
        <v>209.5</v>
      </c>
      <c r="G138" s="18">
        <v>500</v>
      </c>
      <c r="H138" s="18">
        <v>19</v>
      </c>
      <c r="I138" s="18">
        <v>150</v>
      </c>
      <c r="J138" s="8">
        <f t="shared" si="4"/>
        <v>9650</v>
      </c>
      <c r="K138" s="27">
        <f t="shared" si="3"/>
        <v>3.0806845965770172E-2</v>
      </c>
      <c r="L138" s="18">
        <v>6.3</v>
      </c>
      <c r="M138" s="18">
        <v>6.4</v>
      </c>
      <c r="N138" s="18"/>
      <c r="O138" s="18">
        <v>5</v>
      </c>
      <c r="P138" s="18"/>
    </row>
    <row r="139" spans="1:16" x14ac:dyDescent="0.2">
      <c r="A139" s="4">
        <v>46036</v>
      </c>
      <c r="B139" s="1" t="s">
        <v>54</v>
      </c>
      <c r="C139" s="18" t="s">
        <v>33</v>
      </c>
      <c r="D139" s="18">
        <v>3411</v>
      </c>
      <c r="E139" s="18" t="s">
        <v>445</v>
      </c>
      <c r="F139" s="18">
        <v>298</v>
      </c>
      <c r="G139" s="18">
        <v>500</v>
      </c>
      <c r="H139" s="18">
        <v>32</v>
      </c>
      <c r="I139" s="18">
        <v>300</v>
      </c>
      <c r="J139" s="8">
        <f t="shared" si="4"/>
        <v>16300</v>
      </c>
      <c r="K139" s="27">
        <f t="shared" si="3"/>
        <v>2.1390374331550801E-2</v>
      </c>
      <c r="L139" s="18">
        <v>5.6</v>
      </c>
      <c r="M139" s="18"/>
      <c r="N139" s="18"/>
      <c r="O139" s="18">
        <v>36.200000000000003</v>
      </c>
      <c r="P139" s="18"/>
    </row>
    <row r="140" spans="1:16" x14ac:dyDescent="0.2">
      <c r="A140" s="4">
        <v>46036</v>
      </c>
      <c r="B140" s="1" t="s">
        <v>54</v>
      </c>
      <c r="C140" s="18" t="s">
        <v>20</v>
      </c>
      <c r="D140" s="18">
        <v>3327</v>
      </c>
      <c r="E140" s="18" t="s">
        <v>455</v>
      </c>
      <c r="F140" s="18">
        <v>144</v>
      </c>
      <c r="G140" s="18">
        <v>1600</v>
      </c>
      <c r="H140" s="18">
        <v>16</v>
      </c>
      <c r="I140" s="18"/>
      <c r="J140" s="8">
        <f t="shared" si="4"/>
        <v>25600</v>
      </c>
      <c r="K140" s="27">
        <f t="shared" si="3"/>
        <v>6.2500000000000003E-3</v>
      </c>
      <c r="L140" s="18">
        <v>0.9</v>
      </c>
      <c r="M140" s="18"/>
      <c r="N140" s="18"/>
      <c r="O140" s="18"/>
      <c r="P140" s="18"/>
    </row>
    <row r="141" spans="1:16" x14ac:dyDescent="0.2">
      <c r="A141" s="4">
        <v>46036</v>
      </c>
      <c r="B141" s="1" t="s">
        <v>54</v>
      </c>
      <c r="C141" s="18" t="s">
        <v>33</v>
      </c>
      <c r="D141" s="18">
        <v>3045</v>
      </c>
      <c r="E141" s="18" t="s">
        <v>456</v>
      </c>
      <c r="F141" s="18">
        <v>227</v>
      </c>
      <c r="G141" s="18">
        <v>1500</v>
      </c>
      <c r="H141" s="18">
        <v>19</v>
      </c>
      <c r="I141" s="18">
        <v>850</v>
      </c>
      <c r="J141" s="8">
        <f t="shared" si="4"/>
        <v>29350</v>
      </c>
      <c r="K141" s="27">
        <f t="shared" si="3"/>
        <v>0</v>
      </c>
      <c r="L141" s="18"/>
      <c r="M141" s="18">
        <v>1.8</v>
      </c>
      <c r="N141" s="18"/>
      <c r="O141" s="18">
        <v>26.5</v>
      </c>
      <c r="P141" s="18"/>
    </row>
    <row r="142" spans="1:16" x14ac:dyDescent="0.2">
      <c r="A142" s="4">
        <v>46036</v>
      </c>
      <c r="B142" s="1" t="s">
        <v>54</v>
      </c>
      <c r="C142" s="18" t="s">
        <v>20</v>
      </c>
      <c r="D142" s="18">
        <v>3329</v>
      </c>
      <c r="E142" s="18" t="s">
        <v>457</v>
      </c>
      <c r="F142" s="18">
        <v>207.8</v>
      </c>
      <c r="G142" s="18">
        <v>800</v>
      </c>
      <c r="H142" s="18">
        <v>27</v>
      </c>
      <c r="I142" s="18">
        <v>600</v>
      </c>
      <c r="J142" s="8">
        <f t="shared" si="4"/>
        <v>22200</v>
      </c>
      <c r="K142" s="27">
        <f t="shared" si="3"/>
        <v>9.1434071222329157E-3</v>
      </c>
      <c r="L142" s="18">
        <v>1.9</v>
      </c>
      <c r="M142" s="18"/>
      <c r="N142" s="18"/>
      <c r="O142" s="18"/>
      <c r="P142" s="18"/>
    </row>
    <row r="143" spans="1:16" x14ac:dyDescent="0.2">
      <c r="A143" s="4">
        <v>46036</v>
      </c>
      <c r="B143" s="1" t="s">
        <v>54</v>
      </c>
      <c r="C143" s="18" t="s">
        <v>33</v>
      </c>
      <c r="D143" s="18">
        <v>3183</v>
      </c>
      <c r="E143" s="18" t="s">
        <v>370</v>
      </c>
      <c r="F143" s="18">
        <v>1040.2</v>
      </c>
      <c r="G143" s="18">
        <v>500</v>
      </c>
      <c r="H143" s="18">
        <v>50</v>
      </c>
      <c r="I143" s="18"/>
      <c r="J143" s="8">
        <f t="shared" si="4"/>
        <v>25000</v>
      </c>
      <c r="K143" s="27">
        <f t="shared" si="3"/>
        <v>1.4860139860139858E-2</v>
      </c>
      <c r="L143" s="18">
        <v>13.6</v>
      </c>
      <c r="M143" s="18">
        <v>2.5</v>
      </c>
      <c r="N143" s="18"/>
      <c r="O143" s="18">
        <v>125</v>
      </c>
      <c r="P143" s="18"/>
    </row>
    <row r="144" spans="1:16" x14ac:dyDescent="0.2">
      <c r="A144" s="4">
        <v>46036</v>
      </c>
      <c r="B144" s="1" t="s">
        <v>54</v>
      </c>
      <c r="C144" s="18" t="s">
        <v>27</v>
      </c>
      <c r="D144" s="18">
        <v>3537</v>
      </c>
      <c r="E144" s="18" t="s">
        <v>458</v>
      </c>
      <c r="F144" s="18">
        <v>276.10000000000002</v>
      </c>
      <c r="G144" s="18">
        <v>250</v>
      </c>
      <c r="H144" s="18">
        <v>20</v>
      </c>
      <c r="I144" s="18">
        <v>145</v>
      </c>
      <c r="J144" s="8">
        <f t="shared" si="4"/>
        <v>5145</v>
      </c>
      <c r="K144" s="27">
        <f t="shared" si="3"/>
        <v>1.0141253169141613E-2</v>
      </c>
      <c r="L144" s="18">
        <v>2.8</v>
      </c>
      <c r="M144" s="18"/>
      <c r="N144" s="18"/>
      <c r="O144" s="18"/>
      <c r="P144" s="18"/>
    </row>
    <row r="145" spans="1:16" x14ac:dyDescent="0.2">
      <c r="A145" s="4">
        <v>46036</v>
      </c>
      <c r="B145" s="1" t="s">
        <v>54</v>
      </c>
      <c r="C145" s="18" t="s">
        <v>27</v>
      </c>
      <c r="D145" s="18">
        <v>3536</v>
      </c>
      <c r="E145" s="18" t="s">
        <v>459</v>
      </c>
      <c r="F145" s="18">
        <v>248.5</v>
      </c>
      <c r="G145" s="18">
        <v>250</v>
      </c>
      <c r="H145" s="18">
        <v>21</v>
      </c>
      <c r="I145" s="18">
        <v>180</v>
      </c>
      <c r="J145" s="8">
        <f t="shared" si="4"/>
        <v>5430</v>
      </c>
      <c r="K145" s="27">
        <f t="shared" si="3"/>
        <v>2.6156941649899398E-2</v>
      </c>
      <c r="L145" s="18">
        <v>6.5</v>
      </c>
      <c r="M145" s="18"/>
      <c r="N145" s="18"/>
      <c r="O145" s="18"/>
      <c r="P145" s="18"/>
    </row>
    <row r="146" spans="1:16" x14ac:dyDescent="0.2">
      <c r="A146" s="4">
        <v>46036</v>
      </c>
      <c r="B146" s="1" t="s">
        <v>54</v>
      </c>
      <c r="C146" s="18" t="s">
        <v>20</v>
      </c>
      <c r="D146" s="18">
        <v>3434</v>
      </c>
      <c r="E146" s="18" t="s">
        <v>180</v>
      </c>
      <c r="F146" s="18">
        <v>525.4</v>
      </c>
      <c r="G146" s="18">
        <v>700</v>
      </c>
      <c r="H146" s="18">
        <v>41</v>
      </c>
      <c r="I146" s="18"/>
      <c r="J146" s="8">
        <f t="shared" si="4"/>
        <v>28700</v>
      </c>
      <c r="K146" s="27">
        <f t="shared" si="3"/>
        <v>1.0848877046060145E-2</v>
      </c>
      <c r="L146" s="18">
        <v>5.7</v>
      </c>
      <c r="M146" s="18"/>
      <c r="N146" s="18"/>
      <c r="O146" s="18"/>
      <c r="P146" s="18"/>
    </row>
    <row r="147" spans="1:16" x14ac:dyDescent="0.2">
      <c r="A147" s="4">
        <v>46036</v>
      </c>
      <c r="B147" s="1" t="s">
        <v>54</v>
      </c>
      <c r="C147" s="18" t="s">
        <v>24</v>
      </c>
      <c r="D147" s="18">
        <v>3380</v>
      </c>
      <c r="E147" s="18" t="s">
        <v>460</v>
      </c>
      <c r="F147" s="18"/>
      <c r="G147" s="18">
        <v>2000</v>
      </c>
      <c r="H147" s="18">
        <v>2</v>
      </c>
      <c r="I147" s="18"/>
      <c r="J147" s="8">
        <f t="shared" si="4"/>
        <v>4000</v>
      </c>
      <c r="K147" s="27">
        <f t="shared" si="3"/>
        <v>0</v>
      </c>
      <c r="L147" s="17"/>
      <c r="M147" s="15"/>
      <c r="N147" s="18"/>
      <c r="O147" s="18"/>
      <c r="P147" s="18"/>
    </row>
    <row r="148" spans="1:16" x14ac:dyDescent="0.2">
      <c r="A148" s="4">
        <v>46037</v>
      </c>
      <c r="B148" s="1" t="s">
        <v>14</v>
      </c>
      <c r="C148" s="18" t="s">
        <v>15</v>
      </c>
      <c r="D148" s="18">
        <v>3078</v>
      </c>
      <c r="E148" s="18" t="s">
        <v>453</v>
      </c>
      <c r="F148" s="18">
        <v>125</v>
      </c>
      <c r="G148" s="18">
        <v>2000</v>
      </c>
      <c r="H148" s="18">
        <v>10</v>
      </c>
      <c r="I148" s="18">
        <v>1300</v>
      </c>
      <c r="J148" s="8">
        <f t="shared" si="4"/>
        <v>21300</v>
      </c>
      <c r="K148" s="27">
        <f t="shared" si="3"/>
        <v>2.3199999999999998E-2</v>
      </c>
      <c r="L148" s="18">
        <v>2.9</v>
      </c>
      <c r="M148" s="18">
        <v>6.9</v>
      </c>
      <c r="N148" s="18"/>
      <c r="O148" s="18"/>
      <c r="P148" s="18"/>
    </row>
    <row r="149" spans="1:16" x14ac:dyDescent="0.2">
      <c r="A149" s="4">
        <v>46037</v>
      </c>
      <c r="B149" s="1" t="s">
        <v>14</v>
      </c>
      <c r="C149" s="18" t="s">
        <v>15</v>
      </c>
      <c r="D149" s="18">
        <v>3433</v>
      </c>
      <c r="E149" s="18" t="s">
        <v>461</v>
      </c>
      <c r="F149" s="18">
        <v>585.79999999999995</v>
      </c>
      <c r="G149" s="18">
        <v>500</v>
      </c>
      <c r="H149" s="18">
        <v>55</v>
      </c>
      <c r="I149" s="18"/>
      <c r="J149" s="8">
        <f t="shared" si="4"/>
        <v>27500</v>
      </c>
      <c r="K149" s="27">
        <f t="shared" si="3"/>
        <v>1.7010309278350517E-2</v>
      </c>
      <c r="L149" s="18">
        <v>9.9</v>
      </c>
      <c r="M149" s="18">
        <v>11.6</v>
      </c>
      <c r="N149" s="18"/>
      <c r="O149" s="18">
        <v>3.8</v>
      </c>
      <c r="P149" s="18"/>
    </row>
    <row r="150" spans="1:16" x14ac:dyDescent="0.2">
      <c r="A150" s="4">
        <v>46037</v>
      </c>
      <c r="B150" s="1" t="s">
        <v>14</v>
      </c>
      <c r="C150" s="18" t="s">
        <v>20</v>
      </c>
      <c r="D150" s="18">
        <v>3434</v>
      </c>
      <c r="E150" s="18" t="s">
        <v>180</v>
      </c>
      <c r="F150" s="18">
        <v>1601.3</v>
      </c>
      <c r="G150" s="18">
        <v>700</v>
      </c>
      <c r="H150" s="18">
        <v>114</v>
      </c>
      <c r="I150" s="18"/>
      <c r="J150" s="8">
        <f t="shared" si="4"/>
        <v>79800</v>
      </c>
      <c r="K150" s="27">
        <f t="shared" si="3"/>
        <v>2.4979703990507711E-3</v>
      </c>
      <c r="L150" s="18">
        <v>4</v>
      </c>
      <c r="M150" s="18"/>
      <c r="N150" s="18">
        <v>14</v>
      </c>
      <c r="O150" s="18"/>
      <c r="P150" s="18"/>
    </row>
    <row r="151" spans="1:16" x14ac:dyDescent="0.2">
      <c r="A151" s="4">
        <v>46037</v>
      </c>
      <c r="B151" s="1" t="s">
        <v>14</v>
      </c>
      <c r="C151" s="18" t="s">
        <v>24</v>
      </c>
      <c r="D151" s="18">
        <v>3380</v>
      </c>
      <c r="E151" s="18" t="s">
        <v>460</v>
      </c>
      <c r="F151" s="18">
        <v>137.1</v>
      </c>
      <c r="G151" s="18">
        <v>2000</v>
      </c>
      <c r="H151" s="18">
        <v>41</v>
      </c>
      <c r="I151" s="18"/>
      <c r="J151" s="8">
        <f t="shared" si="4"/>
        <v>82000</v>
      </c>
      <c r="K151" s="27">
        <f t="shared" si="3"/>
        <v>9.4821298322392417E-3</v>
      </c>
      <c r="L151" s="18">
        <v>1.3</v>
      </c>
      <c r="M151" s="18"/>
      <c r="N151" s="18"/>
      <c r="O151" s="18"/>
      <c r="P151" s="18"/>
    </row>
    <row r="152" spans="1:16" x14ac:dyDescent="0.2">
      <c r="A152" s="4">
        <v>46037</v>
      </c>
      <c r="B152" s="1" t="s">
        <v>14</v>
      </c>
      <c r="C152" s="18" t="s">
        <v>27</v>
      </c>
      <c r="D152" s="18">
        <v>3298</v>
      </c>
      <c r="E152" s="18" t="s">
        <v>462</v>
      </c>
      <c r="F152" s="18">
        <v>170.3</v>
      </c>
      <c r="G152" s="18">
        <v>500</v>
      </c>
      <c r="H152" s="18">
        <v>24</v>
      </c>
      <c r="I152" s="18">
        <v>150</v>
      </c>
      <c r="J152" s="8">
        <f t="shared" si="4"/>
        <v>12150</v>
      </c>
      <c r="K152" s="27">
        <f t="shared" si="3"/>
        <v>5.1470588235294115E-2</v>
      </c>
      <c r="L152" s="18">
        <v>8.4</v>
      </c>
      <c r="M152" s="18">
        <v>7.3</v>
      </c>
      <c r="N152" s="18"/>
      <c r="O152" s="18">
        <v>7.1</v>
      </c>
      <c r="P152" s="18"/>
    </row>
    <row r="153" spans="1:16" x14ac:dyDescent="0.2">
      <c r="A153" s="4">
        <v>46037</v>
      </c>
      <c r="B153" s="1" t="s">
        <v>14</v>
      </c>
      <c r="C153" s="18" t="s">
        <v>27</v>
      </c>
      <c r="D153" s="18">
        <v>3455</v>
      </c>
      <c r="E153" s="18" t="s">
        <v>463</v>
      </c>
      <c r="F153" s="18">
        <v>344.8</v>
      </c>
      <c r="G153" s="18">
        <v>500</v>
      </c>
      <c r="H153" s="18">
        <v>33</v>
      </c>
      <c r="I153" s="18"/>
      <c r="J153" s="8">
        <f t="shared" si="4"/>
        <v>16500</v>
      </c>
      <c r="K153" s="27">
        <f t="shared" si="3"/>
        <v>2.084574151280524E-2</v>
      </c>
      <c r="L153" s="18">
        <v>7</v>
      </c>
      <c r="M153" s="18">
        <v>16</v>
      </c>
      <c r="N153" s="18"/>
      <c r="O153" s="18">
        <v>9</v>
      </c>
      <c r="P153" s="18"/>
    </row>
    <row r="154" spans="1:16" x14ac:dyDescent="0.2">
      <c r="A154" s="4">
        <v>46037</v>
      </c>
      <c r="B154" s="1" t="s">
        <v>14</v>
      </c>
      <c r="C154" s="18" t="s">
        <v>33</v>
      </c>
      <c r="D154" s="18">
        <v>3183</v>
      </c>
      <c r="E154" s="18" t="s">
        <v>370</v>
      </c>
      <c r="F154" s="18">
        <v>1650.5</v>
      </c>
      <c r="G154" s="18">
        <v>500</v>
      </c>
      <c r="H154" s="18">
        <v>145</v>
      </c>
      <c r="I154" s="18"/>
      <c r="J154" s="8">
        <f t="shared" si="4"/>
        <v>72500</v>
      </c>
      <c r="K154" s="27">
        <f t="shared" si="3"/>
        <v>1.1259869550291795E-2</v>
      </c>
      <c r="L154" s="18">
        <v>16.399999999999999</v>
      </c>
      <c r="M154" s="18">
        <v>13.9</v>
      </c>
      <c r="N154" s="18"/>
      <c r="O154" s="18">
        <v>194</v>
      </c>
      <c r="P154" s="18"/>
    </row>
    <row r="155" spans="1:16" x14ac:dyDescent="0.2">
      <c r="A155" s="4">
        <v>46038</v>
      </c>
      <c r="B155" s="1" t="s">
        <v>40</v>
      </c>
      <c r="C155" s="18" t="s">
        <v>24</v>
      </c>
      <c r="D155" s="18">
        <v>3380</v>
      </c>
      <c r="E155" s="18" t="s">
        <v>460</v>
      </c>
      <c r="F155" s="18">
        <v>15.2</v>
      </c>
      <c r="G155" s="18">
        <v>2000</v>
      </c>
      <c r="H155" s="18">
        <v>8</v>
      </c>
      <c r="I155" s="18">
        <v>1600</v>
      </c>
      <c r="J155" s="8">
        <f t="shared" si="4"/>
        <v>17600</v>
      </c>
      <c r="K155" s="27">
        <f t="shared" si="3"/>
        <v>0</v>
      </c>
      <c r="L155" s="18"/>
      <c r="M155" s="18"/>
      <c r="N155" s="18"/>
      <c r="O155" s="18"/>
      <c r="P155" s="18"/>
    </row>
    <row r="156" spans="1:16" x14ac:dyDescent="0.2">
      <c r="A156" s="4">
        <v>46038</v>
      </c>
      <c r="B156" s="1" t="s">
        <v>40</v>
      </c>
      <c r="C156" s="18" t="s">
        <v>24</v>
      </c>
      <c r="D156" s="18">
        <v>3453</v>
      </c>
      <c r="E156" s="18" t="s">
        <v>464</v>
      </c>
      <c r="F156" s="18">
        <v>114.2</v>
      </c>
      <c r="G156" s="18">
        <v>3000</v>
      </c>
      <c r="H156" s="18">
        <v>20</v>
      </c>
      <c r="I156" s="18"/>
      <c r="J156" s="8">
        <f t="shared" si="4"/>
        <v>60000</v>
      </c>
      <c r="K156" s="27">
        <f t="shared" si="3"/>
        <v>4.3782837127845885E-3</v>
      </c>
      <c r="L156" s="18">
        <v>0.5</v>
      </c>
      <c r="M156" s="18"/>
      <c r="N156" s="18"/>
      <c r="O156" s="18"/>
      <c r="P156" s="18"/>
    </row>
    <row r="157" spans="1:16" x14ac:dyDescent="0.2">
      <c r="A157" s="4">
        <v>46038</v>
      </c>
      <c r="B157" s="1" t="s">
        <v>40</v>
      </c>
      <c r="C157" s="18" t="s">
        <v>27</v>
      </c>
      <c r="D157" s="18">
        <v>3455</v>
      </c>
      <c r="E157" s="18" t="s">
        <v>465</v>
      </c>
      <c r="F157" s="18">
        <v>15.2</v>
      </c>
      <c r="G157" s="18">
        <v>500</v>
      </c>
      <c r="H157" s="18">
        <v>4</v>
      </c>
      <c r="I157" s="18"/>
      <c r="J157" s="8">
        <f t="shared" si="4"/>
        <v>2000</v>
      </c>
      <c r="K157" s="27">
        <f t="shared" si="3"/>
        <v>0.15602836879432624</v>
      </c>
      <c r="L157" s="18">
        <v>2.2000000000000002</v>
      </c>
      <c r="M157" s="18"/>
      <c r="N157" s="18"/>
      <c r="O157" s="18">
        <v>1.1000000000000001</v>
      </c>
      <c r="P157" s="18"/>
    </row>
    <row r="158" spans="1:16" x14ac:dyDescent="0.2">
      <c r="A158" s="4">
        <v>46038</v>
      </c>
      <c r="B158" s="1" t="s">
        <v>40</v>
      </c>
      <c r="C158" s="18" t="s">
        <v>27</v>
      </c>
      <c r="D158" s="18">
        <v>3373</v>
      </c>
      <c r="E158" s="18" t="s">
        <v>466</v>
      </c>
      <c r="F158" s="18">
        <v>127.1</v>
      </c>
      <c r="G158" s="18">
        <v>1000</v>
      </c>
      <c r="H158" s="18">
        <v>19</v>
      </c>
      <c r="I158" s="18"/>
      <c r="J158" s="8">
        <f t="shared" si="4"/>
        <v>19000</v>
      </c>
      <c r="K158" s="27">
        <f t="shared" si="3"/>
        <v>2.9110936270653032E-2</v>
      </c>
      <c r="L158" s="18">
        <v>3.7</v>
      </c>
      <c r="M158" s="18"/>
      <c r="N158" s="18"/>
      <c r="O158" s="18"/>
      <c r="P158" s="18"/>
    </row>
    <row r="159" spans="1:16" x14ac:dyDescent="0.2">
      <c r="A159" s="4">
        <v>46038</v>
      </c>
      <c r="B159" s="1" t="s">
        <v>40</v>
      </c>
      <c r="C159" s="18" t="s">
        <v>20</v>
      </c>
      <c r="D159" s="18">
        <v>3434</v>
      </c>
      <c r="E159" s="18" t="s">
        <v>180</v>
      </c>
      <c r="F159" s="18">
        <v>959.6</v>
      </c>
      <c r="G159" s="18">
        <v>700</v>
      </c>
      <c r="H159" s="18">
        <v>68</v>
      </c>
      <c r="I159" s="18">
        <v>400</v>
      </c>
      <c r="J159" s="8">
        <f t="shared" si="4"/>
        <v>48000</v>
      </c>
      <c r="K159" s="27">
        <f t="shared" si="3"/>
        <v>3.1263026260942056E-3</v>
      </c>
      <c r="L159" s="18">
        <v>3</v>
      </c>
      <c r="M159" s="18"/>
      <c r="N159" s="18"/>
      <c r="O159" s="18"/>
      <c r="P159" s="18"/>
    </row>
    <row r="160" spans="1:16" x14ac:dyDescent="0.2">
      <c r="A160" s="4">
        <v>46038</v>
      </c>
      <c r="B160" s="1" t="s">
        <v>40</v>
      </c>
      <c r="C160" s="18" t="s">
        <v>20</v>
      </c>
      <c r="D160" s="18">
        <v>3432</v>
      </c>
      <c r="E160" s="18" t="s">
        <v>452</v>
      </c>
      <c r="F160" s="18">
        <v>57.3</v>
      </c>
      <c r="G160" s="18">
        <v>1500</v>
      </c>
      <c r="H160" s="18">
        <v>7</v>
      </c>
      <c r="I160" s="18"/>
      <c r="J160" s="8">
        <f t="shared" si="4"/>
        <v>10500</v>
      </c>
      <c r="K160" s="27">
        <f t="shared" si="3"/>
        <v>3.3158813263525308E-2</v>
      </c>
      <c r="L160" s="18">
        <v>1.9</v>
      </c>
      <c r="M160" s="18"/>
      <c r="N160" s="18"/>
      <c r="O160" s="18"/>
      <c r="P160" s="18"/>
    </row>
    <row r="161" spans="1:16" x14ac:dyDescent="0.2">
      <c r="A161" s="4">
        <v>46038</v>
      </c>
      <c r="B161" s="1" t="s">
        <v>40</v>
      </c>
      <c r="C161" s="18" t="s">
        <v>15</v>
      </c>
      <c r="D161" s="18">
        <v>3538</v>
      </c>
      <c r="E161" s="18" t="s">
        <v>467</v>
      </c>
      <c r="F161" s="18">
        <v>35</v>
      </c>
      <c r="G161" s="18">
        <v>500</v>
      </c>
      <c r="H161" s="18">
        <v>3</v>
      </c>
      <c r="I161" s="18">
        <v>150</v>
      </c>
      <c r="J161" s="8">
        <f t="shared" si="4"/>
        <v>1650</v>
      </c>
      <c r="K161" s="27">
        <f t="shared" si="3"/>
        <v>2.5714285714285714E-2</v>
      </c>
      <c r="L161" s="18">
        <v>0.9</v>
      </c>
      <c r="M161" s="18"/>
      <c r="N161" s="18"/>
      <c r="O161" s="18"/>
      <c r="P161" s="18"/>
    </row>
    <row r="162" spans="1:16" x14ac:dyDescent="0.2">
      <c r="A162" s="4">
        <v>46038</v>
      </c>
      <c r="B162" s="1" t="s">
        <v>40</v>
      </c>
      <c r="C162" s="18" t="s">
        <v>15</v>
      </c>
      <c r="D162" s="18">
        <v>3499</v>
      </c>
      <c r="E162" s="18" t="s">
        <v>247</v>
      </c>
      <c r="F162" s="18">
        <v>83.2</v>
      </c>
      <c r="G162" s="18">
        <v>600</v>
      </c>
      <c r="H162" s="18">
        <v>7</v>
      </c>
      <c r="I162" s="18">
        <v>160</v>
      </c>
      <c r="J162" s="8">
        <f t="shared" si="4"/>
        <v>4360</v>
      </c>
      <c r="K162" s="27">
        <f t="shared" si="3"/>
        <v>1.3221153846153846E-2</v>
      </c>
      <c r="L162" s="18">
        <v>1.1000000000000001</v>
      </c>
      <c r="M162" s="18"/>
      <c r="N162" s="18">
        <v>8.4</v>
      </c>
      <c r="O162" s="18"/>
      <c r="P162" s="18"/>
    </row>
    <row r="163" spans="1:16" x14ac:dyDescent="0.2">
      <c r="A163" s="4">
        <v>46038</v>
      </c>
      <c r="B163" s="1" t="s">
        <v>40</v>
      </c>
      <c r="C163" s="18" t="s">
        <v>15</v>
      </c>
      <c r="D163" s="18">
        <v>3511</v>
      </c>
      <c r="E163" s="18" t="s">
        <v>468</v>
      </c>
      <c r="F163" s="18">
        <v>139.19999999999999</v>
      </c>
      <c r="G163" s="18">
        <v>700</v>
      </c>
      <c r="H163" s="18">
        <v>33</v>
      </c>
      <c r="I163" s="18">
        <v>350</v>
      </c>
      <c r="J163" s="8">
        <f t="shared" si="4"/>
        <v>23450</v>
      </c>
      <c r="K163" s="27">
        <f t="shared" si="3"/>
        <v>7.1839080459770123E-3</v>
      </c>
      <c r="L163" s="18">
        <v>1</v>
      </c>
      <c r="M163" s="18"/>
      <c r="N163" s="18"/>
      <c r="O163" s="18"/>
      <c r="P163" s="18" t="s">
        <v>469</v>
      </c>
    </row>
    <row r="164" spans="1:16" x14ac:dyDescent="0.2">
      <c r="A164" s="4">
        <v>46038</v>
      </c>
      <c r="B164" s="1" t="s">
        <v>40</v>
      </c>
      <c r="C164" s="18" t="s">
        <v>15</v>
      </c>
      <c r="D164" s="18">
        <v>3324</v>
      </c>
      <c r="E164" s="18" t="s">
        <v>159</v>
      </c>
      <c r="F164" s="18">
        <v>62.4</v>
      </c>
      <c r="G164" s="18">
        <v>700</v>
      </c>
      <c r="H164" s="18">
        <v>5</v>
      </c>
      <c r="I164" s="18">
        <v>150</v>
      </c>
      <c r="J164" s="8">
        <f t="shared" si="4"/>
        <v>3650</v>
      </c>
      <c r="K164" s="27">
        <f t="shared" ref="K164:K227" si="5">IFERROR(L164/(F164-O164)*100%,0)</f>
        <v>9.6153846153846159E-3</v>
      </c>
      <c r="L164" s="18">
        <v>0.6</v>
      </c>
      <c r="M164" s="18"/>
      <c r="N164" s="18"/>
      <c r="O164" s="18"/>
      <c r="P164" s="18"/>
    </row>
    <row r="165" spans="1:16" x14ac:dyDescent="0.2">
      <c r="A165" s="4">
        <v>46038</v>
      </c>
      <c r="B165" s="1" t="s">
        <v>40</v>
      </c>
      <c r="C165" s="18" t="s">
        <v>33</v>
      </c>
      <c r="D165" s="18">
        <v>3183</v>
      </c>
      <c r="E165" s="18" t="s">
        <v>370</v>
      </c>
      <c r="F165" s="18">
        <v>556.4</v>
      </c>
      <c r="G165" s="18">
        <v>500</v>
      </c>
      <c r="H165" s="18">
        <v>48</v>
      </c>
      <c r="I165" s="18">
        <v>50</v>
      </c>
      <c r="J165" s="8">
        <f t="shared" si="4"/>
        <v>24050</v>
      </c>
      <c r="K165" s="27">
        <f t="shared" si="5"/>
        <v>5.5293876715134145E-3</v>
      </c>
      <c r="L165" s="18">
        <v>2.7</v>
      </c>
      <c r="M165" s="18">
        <v>6.9</v>
      </c>
      <c r="N165" s="18"/>
      <c r="O165" s="18">
        <v>68.099999999999994</v>
      </c>
      <c r="P165" s="18"/>
    </row>
    <row r="166" spans="1:16" x14ac:dyDescent="0.2">
      <c r="A166" s="4">
        <v>46038</v>
      </c>
      <c r="B166" s="1" t="s">
        <v>40</v>
      </c>
      <c r="C166" s="18" t="s">
        <v>33</v>
      </c>
      <c r="D166" s="18">
        <v>3286</v>
      </c>
      <c r="E166" s="18" t="s">
        <v>470</v>
      </c>
      <c r="F166" s="18">
        <v>248.9</v>
      </c>
      <c r="G166" s="18">
        <v>500</v>
      </c>
      <c r="H166" s="18">
        <v>37</v>
      </c>
      <c r="I166" s="18">
        <v>400</v>
      </c>
      <c r="J166" s="8">
        <f t="shared" si="4"/>
        <v>18900</v>
      </c>
      <c r="K166" s="27">
        <f t="shared" si="5"/>
        <v>1.7699115044247787E-2</v>
      </c>
      <c r="L166" s="18">
        <v>3.8</v>
      </c>
      <c r="M166" s="18">
        <v>7.3</v>
      </c>
      <c r="N166" s="18"/>
      <c r="O166" s="18">
        <v>34.200000000000003</v>
      </c>
      <c r="P166" s="18"/>
    </row>
    <row r="167" spans="1:16" x14ac:dyDescent="0.2">
      <c r="A167" s="4">
        <v>46038</v>
      </c>
      <c r="B167" s="1" t="s">
        <v>40</v>
      </c>
      <c r="C167" s="18" t="s">
        <v>15</v>
      </c>
      <c r="D167" s="18">
        <v>3311</v>
      </c>
      <c r="E167" s="18" t="s">
        <v>471</v>
      </c>
      <c r="F167" s="18">
        <v>107</v>
      </c>
      <c r="G167" s="18">
        <v>500</v>
      </c>
      <c r="H167" s="18">
        <v>10</v>
      </c>
      <c r="I167" s="18">
        <v>400</v>
      </c>
      <c r="J167" s="8">
        <f t="shared" si="4"/>
        <v>5400</v>
      </c>
      <c r="K167" s="27">
        <f t="shared" si="5"/>
        <v>2.3629489603024575E-2</v>
      </c>
      <c r="L167" s="18">
        <v>2.5</v>
      </c>
      <c r="M167" s="18">
        <v>2.7</v>
      </c>
      <c r="N167" s="18"/>
      <c r="O167" s="18">
        <v>1.2</v>
      </c>
      <c r="P167" s="18"/>
    </row>
    <row r="168" spans="1:16" x14ac:dyDescent="0.2">
      <c r="A168" s="4">
        <v>46038</v>
      </c>
      <c r="B168" s="1" t="s">
        <v>40</v>
      </c>
      <c r="C168" s="18" t="s">
        <v>15</v>
      </c>
      <c r="D168" s="18">
        <v>3202</v>
      </c>
      <c r="E168" s="18" t="s">
        <v>472</v>
      </c>
      <c r="F168" s="18">
        <v>87.3</v>
      </c>
      <c r="G168" s="18">
        <v>250</v>
      </c>
      <c r="H168" s="18">
        <v>7</v>
      </c>
      <c r="I168" s="18">
        <v>150</v>
      </c>
      <c r="J168" s="8">
        <f t="shared" si="4"/>
        <v>1900</v>
      </c>
      <c r="K168" s="27">
        <f t="shared" si="5"/>
        <v>2.5200458190148916E-2</v>
      </c>
      <c r="L168" s="18">
        <v>2.2000000000000002</v>
      </c>
      <c r="M168" s="18">
        <v>1.5</v>
      </c>
      <c r="N168" s="18"/>
      <c r="O168" s="18"/>
      <c r="P168" s="18"/>
    </row>
    <row r="169" spans="1:16" x14ac:dyDescent="0.2">
      <c r="A169" s="4">
        <v>46038</v>
      </c>
      <c r="B169" s="1" t="s">
        <v>40</v>
      </c>
      <c r="C169" s="18" t="s">
        <v>15</v>
      </c>
      <c r="D169" s="18">
        <v>3350</v>
      </c>
      <c r="E169" s="18" t="s">
        <v>473</v>
      </c>
      <c r="F169" s="18">
        <v>450</v>
      </c>
      <c r="G169" s="18">
        <v>250</v>
      </c>
      <c r="H169" s="18">
        <v>30</v>
      </c>
      <c r="I169" s="18"/>
      <c r="J169" s="8">
        <f t="shared" si="4"/>
        <v>7500</v>
      </c>
      <c r="K169" s="27">
        <f t="shared" si="5"/>
        <v>5.5555555555555558E-3</v>
      </c>
      <c r="L169" s="18">
        <v>2.5</v>
      </c>
      <c r="M169" s="18"/>
      <c r="N169" s="18"/>
      <c r="O169" s="18"/>
      <c r="P169" s="18"/>
    </row>
    <row r="170" spans="1:16" x14ac:dyDescent="0.2">
      <c r="A170" s="4">
        <v>46038</v>
      </c>
      <c r="B170" s="1" t="s">
        <v>40</v>
      </c>
      <c r="C170" s="18" t="s">
        <v>33</v>
      </c>
      <c r="D170" s="18">
        <v>3463</v>
      </c>
      <c r="E170" s="18" t="s">
        <v>474</v>
      </c>
      <c r="F170" s="18">
        <v>352.6</v>
      </c>
      <c r="G170" s="18">
        <v>500</v>
      </c>
      <c r="H170" s="18">
        <v>33</v>
      </c>
      <c r="I170" s="18">
        <v>200</v>
      </c>
      <c r="J170" s="8">
        <f t="shared" si="4"/>
        <v>16700</v>
      </c>
      <c r="K170" s="27">
        <f t="shared" si="5"/>
        <v>8.8748019017432633E-3</v>
      </c>
      <c r="L170" s="18">
        <v>2.8</v>
      </c>
      <c r="M170" s="18">
        <v>3.8</v>
      </c>
      <c r="N170" s="18"/>
      <c r="O170" s="18">
        <v>37.1</v>
      </c>
      <c r="P170" s="18"/>
    </row>
    <row r="171" spans="1:16" x14ac:dyDescent="0.2">
      <c r="A171" s="4">
        <v>46038</v>
      </c>
      <c r="B171" s="1" t="s">
        <v>40</v>
      </c>
      <c r="C171" s="18" t="s">
        <v>33</v>
      </c>
      <c r="D171" s="18">
        <v>3228</v>
      </c>
      <c r="E171" s="18" t="s">
        <v>475</v>
      </c>
      <c r="F171" s="18">
        <v>223.9</v>
      </c>
      <c r="G171" s="18">
        <v>500</v>
      </c>
      <c r="H171" s="18">
        <v>16</v>
      </c>
      <c r="I171" s="18"/>
      <c r="J171" s="8">
        <f t="shared" si="4"/>
        <v>8000</v>
      </c>
      <c r="K171" s="27">
        <f t="shared" si="5"/>
        <v>6.71462829736211E-3</v>
      </c>
      <c r="L171" s="18">
        <v>1.4</v>
      </c>
      <c r="M171" s="18">
        <v>2.6</v>
      </c>
      <c r="N171" s="18"/>
      <c r="O171" s="18">
        <v>15.4</v>
      </c>
      <c r="P171" s="18"/>
    </row>
    <row r="172" spans="1:16" x14ac:dyDescent="0.2">
      <c r="A172" s="4">
        <v>46039</v>
      </c>
      <c r="B172" s="1" t="s">
        <v>54</v>
      </c>
      <c r="C172" s="18" t="s">
        <v>15</v>
      </c>
      <c r="D172" s="18">
        <v>3350</v>
      </c>
      <c r="E172" s="18" t="s">
        <v>473</v>
      </c>
      <c r="F172" s="18">
        <v>55.2</v>
      </c>
      <c r="G172" s="18">
        <v>250</v>
      </c>
      <c r="H172" s="18">
        <v>3</v>
      </c>
      <c r="I172" s="18">
        <v>5</v>
      </c>
      <c r="J172" s="8">
        <f t="shared" si="4"/>
        <v>755</v>
      </c>
      <c r="K172" s="27">
        <f t="shared" si="5"/>
        <v>1.8115942028985508E-2</v>
      </c>
      <c r="L172" s="18">
        <v>1</v>
      </c>
      <c r="M172" s="18"/>
      <c r="N172" s="18"/>
      <c r="O172" s="18"/>
      <c r="P172" s="18"/>
    </row>
    <row r="173" spans="1:16" x14ac:dyDescent="0.2">
      <c r="A173" s="4">
        <v>46039</v>
      </c>
      <c r="B173" s="1" t="s">
        <v>54</v>
      </c>
      <c r="C173" s="18" t="s">
        <v>20</v>
      </c>
      <c r="D173" s="18">
        <v>3432</v>
      </c>
      <c r="E173" s="18" t="s">
        <v>452</v>
      </c>
      <c r="F173" s="18">
        <v>141.69999999999999</v>
      </c>
      <c r="G173" s="18">
        <v>1500</v>
      </c>
      <c r="H173" s="18">
        <v>14</v>
      </c>
      <c r="I173" s="18">
        <v>800</v>
      </c>
      <c r="J173" s="8">
        <f t="shared" si="4"/>
        <v>21800</v>
      </c>
      <c r="K173" s="27">
        <f t="shared" si="5"/>
        <v>3.1051517290049405E-2</v>
      </c>
      <c r="L173" s="18">
        <v>4.4000000000000004</v>
      </c>
      <c r="M173" s="18"/>
      <c r="N173" s="18"/>
      <c r="O173" s="18"/>
      <c r="P173" s="18"/>
    </row>
    <row r="174" spans="1:16" x14ac:dyDescent="0.2">
      <c r="A174" s="4">
        <v>46039</v>
      </c>
      <c r="B174" s="1" t="s">
        <v>54</v>
      </c>
      <c r="C174" s="18" t="s">
        <v>33</v>
      </c>
      <c r="D174" s="18">
        <v>3228</v>
      </c>
      <c r="E174" s="18" t="s">
        <v>475</v>
      </c>
      <c r="F174" s="18">
        <v>354.3</v>
      </c>
      <c r="G174" s="18">
        <v>500</v>
      </c>
      <c r="H174" s="18">
        <v>23</v>
      </c>
      <c r="I174" s="18"/>
      <c r="J174" s="8">
        <f t="shared" si="4"/>
        <v>11500</v>
      </c>
      <c r="K174" s="27">
        <f t="shared" si="5"/>
        <v>1.4102984585109869E-2</v>
      </c>
      <c r="L174" s="18">
        <v>4.3</v>
      </c>
      <c r="M174" s="18">
        <v>4.5999999999999996</v>
      </c>
      <c r="N174" s="18"/>
      <c r="O174" s="18">
        <v>49.4</v>
      </c>
      <c r="P174" s="18"/>
    </row>
    <row r="175" spans="1:16" x14ac:dyDescent="0.2">
      <c r="A175" s="4">
        <v>46039</v>
      </c>
      <c r="B175" s="1" t="s">
        <v>54</v>
      </c>
      <c r="C175" s="18" t="s">
        <v>24</v>
      </c>
      <c r="D175" s="18">
        <v>3453</v>
      </c>
      <c r="E175" s="18" t="s">
        <v>464</v>
      </c>
      <c r="F175" s="18">
        <v>49.7</v>
      </c>
      <c r="G175" s="18">
        <v>3000</v>
      </c>
      <c r="H175" s="18">
        <v>13</v>
      </c>
      <c r="I175" s="18">
        <v>2200</v>
      </c>
      <c r="J175" s="8">
        <f t="shared" si="4"/>
        <v>41200</v>
      </c>
      <c r="K175" s="27">
        <f t="shared" si="5"/>
        <v>2.8169014084507039E-2</v>
      </c>
      <c r="L175" s="18">
        <v>1.4</v>
      </c>
      <c r="M175" s="18"/>
      <c r="N175" s="18"/>
      <c r="O175" s="18"/>
      <c r="P175" s="18"/>
    </row>
    <row r="176" spans="1:16" x14ac:dyDescent="0.2">
      <c r="A176" s="4">
        <v>46039</v>
      </c>
      <c r="B176" s="1" t="s">
        <v>54</v>
      </c>
      <c r="C176" s="18" t="s">
        <v>27</v>
      </c>
      <c r="D176" s="18">
        <v>3373</v>
      </c>
      <c r="E176" s="18" t="s">
        <v>466</v>
      </c>
      <c r="F176" s="18">
        <v>44.8</v>
      </c>
      <c r="G176" s="18">
        <v>1000</v>
      </c>
      <c r="H176" s="18">
        <v>4</v>
      </c>
      <c r="I176" s="18"/>
      <c r="J176" s="8">
        <f t="shared" si="4"/>
        <v>4000</v>
      </c>
      <c r="K176" s="27">
        <f t="shared" si="5"/>
        <v>7.1428571428571438E-2</v>
      </c>
      <c r="L176" s="18">
        <v>3.2</v>
      </c>
      <c r="M176" s="18"/>
      <c r="N176" s="18"/>
      <c r="O176" s="18"/>
      <c r="P176" s="18"/>
    </row>
    <row r="177" spans="1:16" x14ac:dyDescent="0.2">
      <c r="A177" s="4">
        <v>46039</v>
      </c>
      <c r="B177" s="1" t="s">
        <v>54</v>
      </c>
      <c r="C177" s="18" t="s">
        <v>15</v>
      </c>
      <c r="D177" s="18">
        <v>3543</v>
      </c>
      <c r="E177" s="18" t="s">
        <v>476</v>
      </c>
      <c r="F177" s="18">
        <v>111.2</v>
      </c>
      <c r="G177" s="18">
        <v>800</v>
      </c>
      <c r="H177" s="18">
        <v>6</v>
      </c>
      <c r="I177" s="18"/>
      <c r="J177" s="8">
        <f t="shared" si="4"/>
        <v>4800</v>
      </c>
      <c r="K177" s="27">
        <f t="shared" si="5"/>
        <v>8.0935251798561147E-2</v>
      </c>
      <c r="L177" s="18">
        <v>9</v>
      </c>
      <c r="M177" s="18"/>
      <c r="N177" s="18"/>
      <c r="O177" s="18"/>
      <c r="P177" s="18"/>
    </row>
    <row r="178" spans="1:16" x14ac:dyDescent="0.2">
      <c r="A178" s="4">
        <v>46039</v>
      </c>
      <c r="B178" s="1" t="s">
        <v>54</v>
      </c>
      <c r="C178" s="18" t="s">
        <v>15</v>
      </c>
      <c r="D178" s="18">
        <v>3424</v>
      </c>
      <c r="E178" s="18" t="s">
        <v>477</v>
      </c>
      <c r="F178" s="18">
        <v>231.1</v>
      </c>
      <c r="G178" s="18">
        <v>600</v>
      </c>
      <c r="H178" s="18">
        <v>17</v>
      </c>
      <c r="I178" s="18">
        <v>250</v>
      </c>
      <c r="J178" s="8">
        <f t="shared" si="4"/>
        <v>10450</v>
      </c>
      <c r="K178" s="27">
        <f t="shared" si="5"/>
        <v>1.6875811337083515E-2</v>
      </c>
      <c r="L178" s="18">
        <v>3.9</v>
      </c>
      <c r="M178" s="18"/>
      <c r="N178" s="18"/>
      <c r="O178" s="18"/>
      <c r="P178" s="18"/>
    </row>
    <row r="179" spans="1:16" x14ac:dyDescent="0.2">
      <c r="A179" s="4">
        <v>46039</v>
      </c>
      <c r="B179" s="1" t="s">
        <v>54</v>
      </c>
      <c r="C179" s="18" t="s">
        <v>27</v>
      </c>
      <c r="D179" s="18">
        <v>3392</v>
      </c>
      <c r="E179" s="18" t="s">
        <v>478</v>
      </c>
      <c r="F179" s="18">
        <v>80.3</v>
      </c>
      <c r="G179" s="18">
        <v>500</v>
      </c>
      <c r="H179" s="18">
        <v>9</v>
      </c>
      <c r="I179" s="18"/>
      <c r="J179" s="8">
        <f t="shared" si="4"/>
        <v>4500</v>
      </c>
      <c r="K179" s="27">
        <f t="shared" si="5"/>
        <v>7.5965130759651306E-2</v>
      </c>
      <c r="L179" s="18">
        <v>6.1</v>
      </c>
      <c r="M179" s="18"/>
      <c r="N179" s="18"/>
      <c r="O179" s="18"/>
      <c r="P179" s="18"/>
    </row>
    <row r="180" spans="1:16" x14ac:dyDescent="0.2">
      <c r="A180" s="4">
        <v>46039</v>
      </c>
      <c r="B180" s="1" t="s">
        <v>54</v>
      </c>
      <c r="C180" s="18" t="s">
        <v>15</v>
      </c>
      <c r="D180" s="18">
        <v>3533</v>
      </c>
      <c r="E180" s="18" t="s">
        <v>479</v>
      </c>
      <c r="F180" s="18"/>
      <c r="G180" s="18">
        <v>800</v>
      </c>
      <c r="H180" s="18">
        <v>22</v>
      </c>
      <c r="I180" s="18">
        <v>200</v>
      </c>
      <c r="J180" s="8">
        <f t="shared" si="4"/>
        <v>17800</v>
      </c>
      <c r="K180" s="27">
        <f t="shared" si="5"/>
        <v>0</v>
      </c>
      <c r="L180" s="18">
        <v>20.5</v>
      </c>
      <c r="M180" s="18"/>
      <c r="N180" s="18"/>
      <c r="O180" s="18"/>
      <c r="P180" s="18"/>
    </row>
    <row r="181" spans="1:16" x14ac:dyDescent="0.2">
      <c r="A181" s="4">
        <v>46039</v>
      </c>
      <c r="B181" s="1" t="s">
        <v>54</v>
      </c>
      <c r="C181" s="18" t="s">
        <v>20</v>
      </c>
      <c r="D181" s="18">
        <v>3503</v>
      </c>
      <c r="E181" s="18" t="s">
        <v>176</v>
      </c>
      <c r="F181" s="18">
        <v>129.69999999999999</v>
      </c>
      <c r="G181" s="18">
        <v>1000</v>
      </c>
      <c r="H181" s="18">
        <v>23</v>
      </c>
      <c r="I181" s="18"/>
      <c r="J181" s="8">
        <f t="shared" si="4"/>
        <v>23000</v>
      </c>
      <c r="K181" s="27">
        <f t="shared" si="5"/>
        <v>1.0794140323824209E-2</v>
      </c>
      <c r="L181" s="18">
        <v>1.4</v>
      </c>
      <c r="M181" s="18"/>
      <c r="N181" s="18"/>
      <c r="O181" s="18"/>
      <c r="P181" s="18"/>
    </row>
    <row r="182" spans="1:16" x14ac:dyDescent="0.2">
      <c r="A182" s="4">
        <v>46039</v>
      </c>
      <c r="B182" s="1" t="s">
        <v>54</v>
      </c>
      <c r="C182" s="18" t="s">
        <v>15</v>
      </c>
      <c r="D182" s="18">
        <v>3473</v>
      </c>
      <c r="E182" s="18" t="s">
        <v>480</v>
      </c>
      <c r="F182" s="18">
        <v>759.8</v>
      </c>
      <c r="G182" s="18">
        <v>500</v>
      </c>
      <c r="H182" s="18">
        <v>52</v>
      </c>
      <c r="I182" s="18"/>
      <c r="J182" s="8">
        <f t="shared" si="4"/>
        <v>26000</v>
      </c>
      <c r="K182" s="27">
        <f t="shared" si="5"/>
        <v>1.1845222426954462E-2</v>
      </c>
      <c r="L182" s="18">
        <v>9</v>
      </c>
      <c r="M182" s="18"/>
      <c r="N182" s="18"/>
      <c r="O182" s="18"/>
      <c r="P182" s="18"/>
    </row>
    <row r="183" spans="1:16" x14ac:dyDescent="0.2">
      <c r="A183" s="4">
        <v>46039</v>
      </c>
      <c r="B183" s="1" t="s">
        <v>54</v>
      </c>
      <c r="C183" s="18" t="s">
        <v>27</v>
      </c>
      <c r="D183" s="18">
        <v>3393</v>
      </c>
      <c r="E183" s="18" t="s">
        <v>481</v>
      </c>
      <c r="F183" s="18">
        <v>82.1</v>
      </c>
      <c r="G183" s="18">
        <v>500</v>
      </c>
      <c r="H183" s="18">
        <v>9</v>
      </c>
      <c r="I183" s="18">
        <v>300</v>
      </c>
      <c r="J183" s="8">
        <f t="shared" si="4"/>
        <v>4800</v>
      </c>
      <c r="K183" s="27">
        <f t="shared" si="5"/>
        <v>4.2630937880633379E-2</v>
      </c>
      <c r="L183" s="18">
        <v>3.5</v>
      </c>
      <c r="M183" s="18"/>
      <c r="N183" s="18"/>
      <c r="O183" s="18"/>
      <c r="P183" s="18"/>
    </row>
    <row r="184" spans="1:16" x14ac:dyDescent="0.2">
      <c r="A184" s="4">
        <v>46039</v>
      </c>
      <c r="B184" s="1" t="s">
        <v>54</v>
      </c>
      <c r="C184" s="18" t="s">
        <v>27</v>
      </c>
      <c r="D184" s="18">
        <v>3343</v>
      </c>
      <c r="E184" s="18" t="s">
        <v>482</v>
      </c>
      <c r="F184" s="18">
        <v>100.6</v>
      </c>
      <c r="G184" s="18">
        <v>2000</v>
      </c>
      <c r="H184" s="18">
        <v>10</v>
      </c>
      <c r="I184" s="18"/>
      <c r="J184" s="8">
        <f t="shared" si="4"/>
        <v>20000</v>
      </c>
      <c r="K184" s="27">
        <f t="shared" si="5"/>
        <v>1.9880715705765408E-2</v>
      </c>
      <c r="L184" s="18">
        <v>2</v>
      </c>
      <c r="M184" s="18"/>
      <c r="N184" s="18"/>
      <c r="O184" s="18"/>
      <c r="P184" s="18"/>
    </row>
    <row r="185" spans="1:16" x14ac:dyDescent="0.2">
      <c r="A185" s="4">
        <v>46039</v>
      </c>
      <c r="B185" s="1" t="s">
        <v>54</v>
      </c>
      <c r="C185" s="18" t="s">
        <v>24</v>
      </c>
      <c r="D185" s="18">
        <v>3454</v>
      </c>
      <c r="E185" s="18" t="s">
        <v>483</v>
      </c>
      <c r="F185" s="18">
        <v>40.799999999999997</v>
      </c>
      <c r="G185" s="18">
        <v>3000</v>
      </c>
      <c r="H185" s="18">
        <v>11</v>
      </c>
      <c r="I185" s="18"/>
      <c r="J185" s="8">
        <f t="shared" si="4"/>
        <v>33000</v>
      </c>
      <c r="K185" s="27">
        <f t="shared" si="5"/>
        <v>0</v>
      </c>
      <c r="L185" s="18"/>
      <c r="M185" s="18"/>
      <c r="N185" s="18"/>
      <c r="O185" s="18"/>
      <c r="P185" s="18"/>
    </row>
    <row r="186" spans="1:16" x14ac:dyDescent="0.2">
      <c r="A186" s="4">
        <v>46039</v>
      </c>
      <c r="B186" s="1" t="s">
        <v>54</v>
      </c>
      <c r="C186" s="18" t="s">
        <v>33</v>
      </c>
      <c r="D186" s="18">
        <v>3456</v>
      </c>
      <c r="E186" s="18" t="s">
        <v>484</v>
      </c>
      <c r="F186" s="18">
        <v>419.2</v>
      </c>
      <c r="G186" s="18">
        <v>500</v>
      </c>
      <c r="H186" s="18">
        <v>57</v>
      </c>
      <c r="I186" s="18">
        <v>350</v>
      </c>
      <c r="J186" s="8">
        <f t="shared" si="4"/>
        <v>28850</v>
      </c>
      <c r="K186" s="27">
        <f t="shared" si="5"/>
        <v>7.2678331090174969E-3</v>
      </c>
      <c r="L186" s="18">
        <v>2.7</v>
      </c>
      <c r="M186" s="18">
        <v>6.1</v>
      </c>
      <c r="N186" s="18"/>
      <c r="O186" s="18">
        <v>47.7</v>
      </c>
      <c r="P186" s="18"/>
    </row>
    <row r="187" spans="1:16" x14ac:dyDescent="0.2">
      <c r="A187" s="4">
        <v>46039</v>
      </c>
      <c r="B187" s="1" t="s">
        <v>54</v>
      </c>
      <c r="C187" s="18" t="s">
        <v>33</v>
      </c>
      <c r="D187" s="18">
        <v>3381</v>
      </c>
      <c r="E187" s="18" t="s">
        <v>485</v>
      </c>
      <c r="F187" s="18">
        <v>412.2</v>
      </c>
      <c r="G187" s="18">
        <v>500</v>
      </c>
      <c r="H187" s="18">
        <v>75</v>
      </c>
      <c r="I187" s="18">
        <v>250</v>
      </c>
      <c r="J187" s="8">
        <f t="shared" si="4"/>
        <v>37750</v>
      </c>
      <c r="K187" s="27">
        <f t="shared" si="5"/>
        <v>8.7644896805202151E-3</v>
      </c>
      <c r="L187" s="18">
        <v>3.1</v>
      </c>
      <c r="M187" s="18">
        <v>5.9</v>
      </c>
      <c r="N187" s="18"/>
      <c r="O187" s="18">
        <v>58.5</v>
      </c>
      <c r="P187" s="18"/>
    </row>
    <row r="188" spans="1:16" x14ac:dyDescent="0.2">
      <c r="A188" s="4">
        <v>46039</v>
      </c>
      <c r="B188" s="1" t="s">
        <v>54</v>
      </c>
      <c r="C188" s="18" t="s">
        <v>33</v>
      </c>
      <c r="D188" s="18">
        <v>3287</v>
      </c>
      <c r="E188" s="18" t="s">
        <v>405</v>
      </c>
      <c r="F188" s="18">
        <v>45</v>
      </c>
      <c r="G188" s="18">
        <v>800</v>
      </c>
      <c r="H188" s="18">
        <v>4</v>
      </c>
      <c r="I188" s="18">
        <v>300</v>
      </c>
      <c r="J188" s="8">
        <f t="shared" si="4"/>
        <v>3500</v>
      </c>
      <c r="K188" s="27">
        <f t="shared" si="5"/>
        <v>3.2663316582914576E-2</v>
      </c>
      <c r="L188" s="18">
        <v>1.3</v>
      </c>
      <c r="M188" s="18">
        <v>2.7</v>
      </c>
      <c r="N188" s="18"/>
      <c r="O188" s="18">
        <v>5.2</v>
      </c>
      <c r="P188" s="18"/>
    </row>
    <row r="189" spans="1:16" x14ac:dyDescent="0.2">
      <c r="A189" s="4">
        <v>46039</v>
      </c>
      <c r="B189" s="1" t="s">
        <v>54</v>
      </c>
      <c r="C189" s="18" t="s">
        <v>20</v>
      </c>
      <c r="D189" s="18">
        <v>3481</v>
      </c>
      <c r="E189" s="18" t="s">
        <v>176</v>
      </c>
      <c r="F189" s="18">
        <v>80.2</v>
      </c>
      <c r="G189" s="18">
        <v>1000</v>
      </c>
      <c r="H189" s="18">
        <v>14</v>
      </c>
      <c r="I189" s="18"/>
      <c r="J189" s="8">
        <f t="shared" si="4"/>
        <v>14000</v>
      </c>
      <c r="K189" s="27">
        <f t="shared" si="5"/>
        <v>3.8653366583541147E-2</v>
      </c>
      <c r="L189" s="18">
        <v>3.1</v>
      </c>
      <c r="M189" s="18"/>
      <c r="N189" s="18">
        <v>2.7</v>
      </c>
      <c r="O189" s="18"/>
      <c r="P189" s="18"/>
    </row>
    <row r="190" spans="1:16" x14ac:dyDescent="0.2">
      <c r="A190" s="4">
        <v>46039</v>
      </c>
      <c r="B190" s="1" t="s">
        <v>54</v>
      </c>
      <c r="C190" s="18" t="s">
        <v>37</v>
      </c>
      <c r="D190" s="18">
        <v>3084</v>
      </c>
      <c r="E190" s="18" t="s">
        <v>486</v>
      </c>
      <c r="F190" s="18"/>
      <c r="G190" s="18">
        <v>300</v>
      </c>
      <c r="H190" s="18">
        <v>3</v>
      </c>
      <c r="I190" s="18">
        <v>275</v>
      </c>
      <c r="J190" s="8">
        <f t="shared" si="4"/>
        <v>1175</v>
      </c>
      <c r="K190" s="27">
        <f t="shared" si="5"/>
        <v>0</v>
      </c>
      <c r="L190" s="18"/>
      <c r="M190" s="18"/>
      <c r="N190" s="18"/>
      <c r="O190" s="18"/>
      <c r="P190" s="18"/>
    </row>
    <row r="191" spans="1:16" x14ac:dyDescent="0.2">
      <c r="A191" s="4">
        <v>46040</v>
      </c>
      <c r="B191" s="1" t="s">
        <v>14</v>
      </c>
      <c r="C191" s="18" t="s">
        <v>15</v>
      </c>
      <c r="D191" s="18">
        <v>3473</v>
      </c>
      <c r="E191" s="18" t="s">
        <v>480</v>
      </c>
      <c r="F191" s="18">
        <v>97.8</v>
      </c>
      <c r="G191" s="18">
        <v>500</v>
      </c>
      <c r="H191" s="18">
        <v>7</v>
      </c>
      <c r="I191" s="18">
        <v>100</v>
      </c>
      <c r="J191" s="8">
        <f t="shared" si="4"/>
        <v>3600</v>
      </c>
      <c r="K191" s="27">
        <f t="shared" si="5"/>
        <v>7.1574642126789366E-3</v>
      </c>
      <c r="L191" s="18">
        <v>0.7</v>
      </c>
      <c r="M191" s="18"/>
      <c r="N191" s="18"/>
      <c r="O191" s="18"/>
      <c r="P191" s="18"/>
    </row>
    <row r="192" spans="1:16" x14ac:dyDescent="0.2">
      <c r="A192" s="4">
        <v>46040</v>
      </c>
      <c r="B192" s="1" t="s">
        <v>14</v>
      </c>
      <c r="C192" s="18" t="s">
        <v>15</v>
      </c>
      <c r="D192" s="18">
        <v>3505</v>
      </c>
      <c r="E192" s="18" t="s">
        <v>487</v>
      </c>
      <c r="F192" s="18">
        <v>338.6</v>
      </c>
      <c r="G192" s="18">
        <v>500</v>
      </c>
      <c r="H192" s="18">
        <v>25</v>
      </c>
      <c r="I192" s="18">
        <v>350</v>
      </c>
      <c r="J192" s="8">
        <f t="shared" ref="J192:J255" si="6">G192*H192+I192</f>
        <v>12850</v>
      </c>
      <c r="K192" s="27">
        <f t="shared" si="5"/>
        <v>1.535735380980508E-2</v>
      </c>
      <c r="L192" s="18">
        <v>5.2</v>
      </c>
      <c r="M192" s="18"/>
      <c r="N192" s="18"/>
      <c r="O192" s="18"/>
      <c r="P192" s="18"/>
    </row>
    <row r="193" spans="1:16" x14ac:dyDescent="0.2">
      <c r="A193" s="4">
        <v>46040</v>
      </c>
      <c r="B193" s="1" t="s">
        <v>14</v>
      </c>
      <c r="C193" s="18" t="s">
        <v>15</v>
      </c>
      <c r="D193" s="18">
        <v>3508</v>
      </c>
      <c r="E193" s="18" t="s">
        <v>212</v>
      </c>
      <c r="F193" s="18">
        <v>164</v>
      </c>
      <c r="G193" s="18">
        <v>500</v>
      </c>
      <c r="H193" s="18">
        <v>19</v>
      </c>
      <c r="I193" s="18">
        <v>400</v>
      </c>
      <c r="J193" s="8">
        <f t="shared" si="6"/>
        <v>9900</v>
      </c>
      <c r="K193" s="27">
        <f t="shared" si="5"/>
        <v>1.8292682926829267E-2</v>
      </c>
      <c r="L193" s="18">
        <v>3</v>
      </c>
      <c r="M193" s="18"/>
      <c r="N193" s="18"/>
      <c r="O193" s="18"/>
      <c r="P193" s="18"/>
    </row>
    <row r="194" spans="1:16" x14ac:dyDescent="0.2">
      <c r="A194" s="4">
        <v>46040</v>
      </c>
      <c r="B194" s="1" t="s">
        <v>14</v>
      </c>
      <c r="C194" s="18" t="s">
        <v>15</v>
      </c>
      <c r="D194" s="18">
        <v>3468</v>
      </c>
      <c r="E194" s="18" t="s">
        <v>488</v>
      </c>
      <c r="F194" s="18">
        <v>404.2</v>
      </c>
      <c r="G194" s="18">
        <v>1000</v>
      </c>
      <c r="H194" s="18">
        <v>29</v>
      </c>
      <c r="I194" s="18"/>
      <c r="J194" s="8">
        <f t="shared" si="6"/>
        <v>29000</v>
      </c>
      <c r="K194" s="27">
        <f t="shared" si="5"/>
        <v>5.6902523503216231E-3</v>
      </c>
      <c r="L194" s="18">
        <v>2.2999999999999998</v>
      </c>
      <c r="M194" s="18">
        <v>9.8000000000000007</v>
      </c>
      <c r="N194" s="18"/>
      <c r="O194" s="18"/>
      <c r="P194" s="18"/>
    </row>
    <row r="195" spans="1:16" x14ac:dyDescent="0.2">
      <c r="A195" s="4">
        <v>46040</v>
      </c>
      <c r="B195" s="1" t="s">
        <v>14</v>
      </c>
      <c r="C195" s="18" t="s">
        <v>20</v>
      </c>
      <c r="D195" s="18">
        <v>3481</v>
      </c>
      <c r="E195" s="18" t="s">
        <v>176</v>
      </c>
      <c r="F195" s="18">
        <v>45.8</v>
      </c>
      <c r="G195" s="18">
        <v>1000</v>
      </c>
      <c r="H195" s="18">
        <v>6</v>
      </c>
      <c r="I195" s="18">
        <v>600</v>
      </c>
      <c r="J195" s="8">
        <f t="shared" si="6"/>
        <v>6600</v>
      </c>
      <c r="K195" s="27">
        <f t="shared" si="5"/>
        <v>8.7336244541484729E-3</v>
      </c>
      <c r="L195" s="18">
        <v>0.4</v>
      </c>
      <c r="M195" s="18"/>
      <c r="N195" s="18"/>
      <c r="O195" s="18"/>
      <c r="P195" s="18"/>
    </row>
    <row r="196" spans="1:16" x14ac:dyDescent="0.2">
      <c r="A196" s="4">
        <v>46040</v>
      </c>
      <c r="B196" s="1" t="s">
        <v>14</v>
      </c>
      <c r="C196" s="18" t="s">
        <v>20</v>
      </c>
      <c r="D196" s="18">
        <v>3401</v>
      </c>
      <c r="E196" s="18" t="s">
        <v>489</v>
      </c>
      <c r="F196" s="18">
        <v>80.3</v>
      </c>
      <c r="G196" s="18">
        <v>4000</v>
      </c>
      <c r="H196" s="18">
        <v>8</v>
      </c>
      <c r="I196" s="18">
        <v>400</v>
      </c>
      <c r="J196" s="8">
        <f t="shared" si="6"/>
        <v>32400</v>
      </c>
      <c r="K196" s="27">
        <f t="shared" si="5"/>
        <v>2.4906600249066005E-2</v>
      </c>
      <c r="L196" s="18">
        <v>2</v>
      </c>
      <c r="M196" s="18"/>
      <c r="N196" s="18"/>
      <c r="O196" s="18"/>
      <c r="P196" s="18"/>
    </row>
    <row r="197" spans="1:16" x14ac:dyDescent="0.2">
      <c r="A197" s="4">
        <v>46040</v>
      </c>
      <c r="B197" s="1" t="s">
        <v>14</v>
      </c>
      <c r="C197" s="18" t="s">
        <v>20</v>
      </c>
      <c r="D197" s="18">
        <v>3528</v>
      </c>
      <c r="E197" s="18" t="s">
        <v>282</v>
      </c>
      <c r="F197" s="18">
        <v>67</v>
      </c>
      <c r="G197" s="18">
        <v>6000</v>
      </c>
      <c r="H197" s="18">
        <v>6</v>
      </c>
      <c r="I197" s="18"/>
      <c r="J197" s="8">
        <f t="shared" si="6"/>
        <v>36000</v>
      </c>
      <c r="K197" s="27">
        <f t="shared" si="5"/>
        <v>2.8358208955223878E-2</v>
      </c>
      <c r="L197" s="18">
        <v>1.9</v>
      </c>
      <c r="M197" s="18"/>
      <c r="N197" s="18"/>
      <c r="O197" s="18"/>
      <c r="P197" s="18"/>
    </row>
    <row r="198" spans="1:16" x14ac:dyDescent="0.2">
      <c r="A198" s="4">
        <v>46040</v>
      </c>
      <c r="B198" s="1" t="s">
        <v>14</v>
      </c>
      <c r="C198" s="18" t="s">
        <v>24</v>
      </c>
      <c r="D198" s="18">
        <v>3454</v>
      </c>
      <c r="E198" s="18" t="s">
        <v>483</v>
      </c>
      <c r="F198" s="18">
        <v>43.4</v>
      </c>
      <c r="G198" s="18">
        <v>3000</v>
      </c>
      <c r="H198" s="18">
        <v>18</v>
      </c>
      <c r="I198" s="18"/>
      <c r="J198" s="8">
        <f t="shared" si="6"/>
        <v>54000</v>
      </c>
      <c r="K198" s="27">
        <f t="shared" si="5"/>
        <v>2.9953917050691246E-2</v>
      </c>
      <c r="L198" s="18">
        <v>1.3</v>
      </c>
      <c r="M198" s="18"/>
      <c r="N198" s="18"/>
      <c r="O198" s="18"/>
      <c r="P198" s="18"/>
    </row>
    <row r="199" spans="1:16" x14ac:dyDescent="0.2">
      <c r="A199" s="4">
        <v>46040</v>
      </c>
      <c r="B199" s="1" t="s">
        <v>14</v>
      </c>
      <c r="C199" s="18" t="s">
        <v>27</v>
      </c>
      <c r="D199" s="18">
        <v>3343</v>
      </c>
      <c r="E199" s="18" t="s">
        <v>482</v>
      </c>
      <c r="F199" s="18">
        <v>102</v>
      </c>
      <c r="G199" s="18">
        <v>2000</v>
      </c>
      <c r="H199" s="18">
        <v>17</v>
      </c>
      <c r="I199" s="18"/>
      <c r="J199" s="8">
        <f t="shared" si="6"/>
        <v>34000</v>
      </c>
      <c r="K199" s="27">
        <f t="shared" si="5"/>
        <v>5.6862745098039215E-2</v>
      </c>
      <c r="L199" s="18">
        <v>5.8</v>
      </c>
      <c r="M199" s="18">
        <v>7.6</v>
      </c>
      <c r="N199" s="18"/>
      <c r="O199" s="18"/>
      <c r="P199" s="18"/>
    </row>
    <row r="200" spans="1:16" x14ac:dyDescent="0.2">
      <c r="A200" s="4">
        <v>46040</v>
      </c>
      <c r="B200" s="1" t="s">
        <v>14</v>
      </c>
      <c r="C200" s="18" t="s">
        <v>33</v>
      </c>
      <c r="D200" s="18">
        <v>3228</v>
      </c>
      <c r="E200" s="18" t="s">
        <v>296</v>
      </c>
      <c r="F200" s="18">
        <v>1057.8</v>
      </c>
      <c r="G200" s="18">
        <v>500</v>
      </c>
      <c r="H200" s="18">
        <v>78</v>
      </c>
      <c r="I200" s="18">
        <v>300</v>
      </c>
      <c r="J200" s="8">
        <f t="shared" si="6"/>
        <v>39300</v>
      </c>
      <c r="K200" s="27">
        <f t="shared" si="5"/>
        <v>5.3361792956243331E-3</v>
      </c>
      <c r="L200" s="18">
        <v>5</v>
      </c>
      <c r="M200" s="18">
        <v>6</v>
      </c>
      <c r="N200" s="18">
        <v>12.8</v>
      </c>
      <c r="O200" s="18">
        <v>120.8</v>
      </c>
      <c r="P200" s="18"/>
    </row>
    <row r="201" spans="1:16" x14ac:dyDescent="0.2">
      <c r="A201" s="4">
        <v>46040</v>
      </c>
      <c r="B201" s="1" t="s">
        <v>14</v>
      </c>
      <c r="C201" s="18" t="s">
        <v>33</v>
      </c>
      <c r="D201" s="18">
        <v>3261</v>
      </c>
      <c r="E201" s="18" t="s">
        <v>490</v>
      </c>
      <c r="F201" s="18">
        <v>340</v>
      </c>
      <c r="G201" s="18">
        <v>1000</v>
      </c>
      <c r="H201" s="18">
        <v>27</v>
      </c>
      <c r="I201" s="18"/>
      <c r="J201" s="8">
        <f t="shared" si="6"/>
        <v>27000</v>
      </c>
      <c r="K201" s="27">
        <f t="shared" si="5"/>
        <v>9.204470742932281E-3</v>
      </c>
      <c r="L201" s="18">
        <v>2.8</v>
      </c>
      <c r="M201" s="18">
        <v>5</v>
      </c>
      <c r="N201" s="18"/>
      <c r="O201" s="18">
        <v>35.799999999999997</v>
      </c>
      <c r="P201" s="18"/>
    </row>
    <row r="202" spans="1:16" x14ac:dyDescent="0.2">
      <c r="A202" s="4">
        <v>46041</v>
      </c>
      <c r="B202" s="1" t="s">
        <v>40</v>
      </c>
      <c r="C202" s="18" t="s">
        <v>24</v>
      </c>
      <c r="D202" s="18">
        <v>3454</v>
      </c>
      <c r="E202" s="18" t="s">
        <v>483</v>
      </c>
      <c r="F202" s="18">
        <v>107</v>
      </c>
      <c r="G202" s="18">
        <v>3000</v>
      </c>
      <c r="H202" s="18">
        <v>26</v>
      </c>
      <c r="I202" s="18"/>
      <c r="J202" s="8">
        <f t="shared" si="6"/>
        <v>78000</v>
      </c>
      <c r="K202" s="27">
        <f t="shared" si="5"/>
        <v>6.5420560747663547E-3</v>
      </c>
      <c r="L202" s="18">
        <v>0.7</v>
      </c>
      <c r="M202" s="18"/>
      <c r="N202" s="18"/>
      <c r="O202" s="18"/>
      <c r="P202" s="18"/>
    </row>
    <row r="203" spans="1:16" x14ac:dyDescent="0.2">
      <c r="A203" s="4">
        <v>46041</v>
      </c>
      <c r="B203" s="1" t="s">
        <v>40</v>
      </c>
      <c r="C203" s="18" t="s">
        <v>27</v>
      </c>
      <c r="D203" s="18">
        <v>3343</v>
      </c>
      <c r="E203" s="18" t="s">
        <v>482</v>
      </c>
      <c r="F203" s="18">
        <v>102.8</v>
      </c>
      <c r="G203" s="18">
        <v>2000</v>
      </c>
      <c r="H203" s="18">
        <v>17</v>
      </c>
      <c r="I203" s="18"/>
      <c r="J203" s="8">
        <f t="shared" si="6"/>
        <v>34000</v>
      </c>
      <c r="K203" s="27">
        <f t="shared" si="5"/>
        <v>1.6536964980544747E-2</v>
      </c>
      <c r="L203" s="18">
        <v>1.7</v>
      </c>
      <c r="M203" s="18">
        <v>2.5</v>
      </c>
      <c r="N203" s="18"/>
      <c r="O203" s="18"/>
      <c r="P203" s="18"/>
    </row>
    <row r="204" spans="1:16" x14ac:dyDescent="0.2">
      <c r="A204" s="4">
        <v>46041</v>
      </c>
      <c r="B204" s="1" t="s">
        <v>40</v>
      </c>
      <c r="C204" s="18" t="s">
        <v>20</v>
      </c>
      <c r="D204" s="18">
        <v>3528</v>
      </c>
      <c r="E204" s="18" t="s">
        <v>282</v>
      </c>
      <c r="F204" s="18">
        <v>501.9</v>
      </c>
      <c r="G204" s="18">
        <v>6000</v>
      </c>
      <c r="H204" s="18">
        <v>42</v>
      </c>
      <c r="I204" s="18">
        <v>2200</v>
      </c>
      <c r="J204" s="8">
        <f t="shared" si="6"/>
        <v>254200</v>
      </c>
      <c r="K204" s="27">
        <f t="shared" si="5"/>
        <v>3.9848575413428972E-3</v>
      </c>
      <c r="L204" s="18">
        <v>2</v>
      </c>
      <c r="M204" s="18"/>
      <c r="N204" s="18"/>
      <c r="O204" s="18"/>
      <c r="P204" s="18"/>
    </row>
    <row r="205" spans="1:16" x14ac:dyDescent="0.2">
      <c r="A205" s="4">
        <v>46041</v>
      </c>
      <c r="B205" s="1" t="s">
        <v>40</v>
      </c>
      <c r="C205" s="18" t="s">
        <v>15</v>
      </c>
      <c r="D205" s="18">
        <v>3468</v>
      </c>
      <c r="E205" s="18" t="s">
        <v>488</v>
      </c>
      <c r="F205" s="18">
        <v>503.5</v>
      </c>
      <c r="G205" s="18">
        <v>1000</v>
      </c>
      <c r="H205" s="18">
        <v>41</v>
      </c>
      <c r="I205" s="18"/>
      <c r="J205" s="8">
        <f t="shared" si="6"/>
        <v>41000</v>
      </c>
      <c r="K205" s="27">
        <f t="shared" si="5"/>
        <v>8.1429990069513403E-3</v>
      </c>
      <c r="L205" s="18">
        <v>4.0999999999999996</v>
      </c>
      <c r="M205" s="18">
        <v>5.6</v>
      </c>
      <c r="N205" s="18"/>
      <c r="O205" s="18"/>
      <c r="P205" s="18"/>
    </row>
    <row r="206" spans="1:16" x14ac:dyDescent="0.2">
      <c r="A206" s="4">
        <v>46041</v>
      </c>
      <c r="B206" s="1" t="s">
        <v>40</v>
      </c>
      <c r="C206" s="18" t="s">
        <v>15</v>
      </c>
      <c r="D206" s="18">
        <v>3360</v>
      </c>
      <c r="E206" s="18" t="s">
        <v>491</v>
      </c>
      <c r="F206" s="18">
        <v>618.4</v>
      </c>
      <c r="G206" s="18">
        <v>500</v>
      </c>
      <c r="H206" s="18">
        <v>45</v>
      </c>
      <c r="I206" s="18">
        <v>270</v>
      </c>
      <c r="J206" s="8">
        <f t="shared" si="6"/>
        <v>22770</v>
      </c>
      <c r="K206" s="27">
        <f t="shared" si="5"/>
        <v>5.3363518758085381E-3</v>
      </c>
      <c r="L206" s="18">
        <v>3.3</v>
      </c>
      <c r="M206" s="18"/>
      <c r="N206" s="18"/>
      <c r="O206" s="18"/>
      <c r="P206" s="18"/>
    </row>
    <row r="207" spans="1:16" x14ac:dyDescent="0.2">
      <c r="A207" s="4">
        <v>46041</v>
      </c>
      <c r="B207" s="1" t="s">
        <v>40</v>
      </c>
      <c r="C207" s="18" t="s">
        <v>33</v>
      </c>
      <c r="D207" s="18">
        <v>3261</v>
      </c>
      <c r="E207" s="18" t="s">
        <v>492</v>
      </c>
      <c r="F207" s="18">
        <v>97</v>
      </c>
      <c r="G207" s="18">
        <v>1000</v>
      </c>
      <c r="H207" s="18">
        <v>7</v>
      </c>
      <c r="I207" s="18">
        <v>700</v>
      </c>
      <c r="J207" s="8">
        <f t="shared" si="6"/>
        <v>7700</v>
      </c>
      <c r="K207" s="27">
        <f t="shared" si="5"/>
        <v>3.4682080924855491E-3</v>
      </c>
      <c r="L207" s="18">
        <v>0.3</v>
      </c>
      <c r="M207" s="18">
        <v>0.3</v>
      </c>
      <c r="N207" s="18"/>
      <c r="O207" s="18">
        <v>10.5</v>
      </c>
      <c r="P207" s="18"/>
    </row>
    <row r="208" spans="1:16" x14ac:dyDescent="0.2">
      <c r="A208" s="4">
        <v>46041</v>
      </c>
      <c r="B208" s="1" t="s">
        <v>40</v>
      </c>
      <c r="C208" s="18" t="s">
        <v>33</v>
      </c>
      <c r="D208" s="18">
        <v>3420</v>
      </c>
      <c r="E208" s="18" t="s">
        <v>493</v>
      </c>
      <c r="F208" s="18">
        <v>301.39999999999998</v>
      </c>
      <c r="G208" s="18">
        <v>500</v>
      </c>
      <c r="H208" s="18">
        <v>45</v>
      </c>
      <c r="I208" s="18">
        <v>250</v>
      </c>
      <c r="J208" s="8">
        <f t="shared" si="6"/>
        <v>22750</v>
      </c>
      <c r="K208" s="27">
        <f t="shared" si="5"/>
        <v>9.4840667678300471E-3</v>
      </c>
      <c r="L208" s="18">
        <v>2.5</v>
      </c>
      <c r="M208" s="18"/>
      <c r="N208" s="18"/>
      <c r="O208" s="18">
        <v>37.799999999999997</v>
      </c>
      <c r="P208" s="18"/>
    </row>
    <row r="209" spans="1:16" x14ac:dyDescent="0.2">
      <c r="A209" s="4">
        <v>46041</v>
      </c>
      <c r="B209" s="1" t="s">
        <v>40</v>
      </c>
      <c r="C209" s="18" t="s">
        <v>33</v>
      </c>
      <c r="D209" s="18">
        <v>3375</v>
      </c>
      <c r="E209" s="18" t="s">
        <v>494</v>
      </c>
      <c r="F209" s="18">
        <v>320.8</v>
      </c>
      <c r="G209" s="18">
        <v>500</v>
      </c>
      <c r="H209" s="18">
        <v>50</v>
      </c>
      <c r="I209" s="18"/>
      <c r="J209" s="8">
        <f t="shared" si="6"/>
        <v>25000</v>
      </c>
      <c r="K209" s="27">
        <f t="shared" si="5"/>
        <v>1.2935680919870643E-2</v>
      </c>
      <c r="L209" s="18">
        <v>3.6</v>
      </c>
      <c r="M209" s="18"/>
      <c r="N209" s="18"/>
      <c r="O209" s="18">
        <v>42.5</v>
      </c>
      <c r="P209" s="18"/>
    </row>
    <row r="210" spans="1:16" x14ac:dyDescent="0.2">
      <c r="A210" s="4">
        <v>46041</v>
      </c>
      <c r="B210" s="1" t="s">
        <v>40</v>
      </c>
      <c r="C210" s="18" t="s">
        <v>33</v>
      </c>
      <c r="D210" s="18">
        <v>3305</v>
      </c>
      <c r="E210" s="18" t="s">
        <v>495</v>
      </c>
      <c r="F210" s="18">
        <v>227.5</v>
      </c>
      <c r="G210" s="18">
        <v>500</v>
      </c>
      <c r="H210" s="18">
        <v>23</v>
      </c>
      <c r="I210" s="18">
        <v>320</v>
      </c>
      <c r="J210" s="8">
        <f t="shared" si="6"/>
        <v>11820</v>
      </c>
      <c r="K210" s="27">
        <f t="shared" si="5"/>
        <v>1.2176560121765601E-2</v>
      </c>
      <c r="L210" s="18">
        <v>2.4</v>
      </c>
      <c r="M210" s="18">
        <v>2.2000000000000002</v>
      </c>
      <c r="N210" s="18"/>
      <c r="O210" s="18">
        <v>30.4</v>
      </c>
      <c r="P210" s="18"/>
    </row>
    <row r="211" spans="1:16" x14ac:dyDescent="0.2">
      <c r="A211" s="4">
        <v>46041</v>
      </c>
      <c r="B211" s="1" t="s">
        <v>40</v>
      </c>
      <c r="C211" s="18" t="s">
        <v>33</v>
      </c>
      <c r="D211" s="18">
        <v>3230</v>
      </c>
      <c r="E211" s="18" t="s">
        <v>295</v>
      </c>
      <c r="F211" s="18">
        <v>51</v>
      </c>
      <c r="G211" s="18">
        <v>500</v>
      </c>
      <c r="H211" s="18">
        <v>6</v>
      </c>
      <c r="I211" s="18"/>
      <c r="J211" s="8">
        <f t="shared" si="6"/>
        <v>3000</v>
      </c>
      <c r="K211" s="27">
        <f t="shared" si="5"/>
        <v>1.580135440180587E-2</v>
      </c>
      <c r="L211" s="18">
        <v>0.7</v>
      </c>
      <c r="M211" s="18"/>
      <c r="N211" s="18"/>
      <c r="O211" s="18">
        <v>6.7</v>
      </c>
      <c r="P211" s="18"/>
    </row>
    <row r="212" spans="1:16" x14ac:dyDescent="0.2">
      <c r="A212" s="4">
        <v>46041</v>
      </c>
      <c r="B212" s="1" t="s">
        <v>40</v>
      </c>
      <c r="C212" s="18" t="s">
        <v>20</v>
      </c>
      <c r="D212" s="18">
        <v>3357</v>
      </c>
      <c r="E212" s="18" t="s">
        <v>198</v>
      </c>
      <c r="F212" s="18">
        <v>53.3</v>
      </c>
      <c r="G212" s="18">
        <v>1000</v>
      </c>
      <c r="H212" s="18">
        <v>6</v>
      </c>
      <c r="I212" s="18"/>
      <c r="J212" s="8">
        <f t="shared" si="6"/>
        <v>6000</v>
      </c>
      <c r="K212" s="27">
        <f t="shared" si="5"/>
        <v>2.8142589118198877E-2</v>
      </c>
      <c r="L212" s="18">
        <v>1.5</v>
      </c>
      <c r="M212" s="18"/>
      <c r="N212" s="18"/>
      <c r="O212" s="18"/>
      <c r="P212" s="18"/>
    </row>
    <row r="213" spans="1:16" x14ac:dyDescent="0.2">
      <c r="A213" s="4">
        <v>46042</v>
      </c>
      <c r="B213" s="1" t="s">
        <v>54</v>
      </c>
      <c r="C213" s="18" t="s">
        <v>20</v>
      </c>
      <c r="D213" s="18">
        <v>3357</v>
      </c>
      <c r="E213" s="18" t="s">
        <v>198</v>
      </c>
      <c r="F213" s="18">
        <v>373.5</v>
      </c>
      <c r="G213" s="18">
        <v>1000</v>
      </c>
      <c r="H213" s="18">
        <v>39</v>
      </c>
      <c r="I213" s="18"/>
      <c r="J213" s="8">
        <f t="shared" si="6"/>
        <v>39000</v>
      </c>
      <c r="K213" s="27">
        <f t="shared" si="5"/>
        <v>7.2289156626506026E-3</v>
      </c>
      <c r="L213" s="18">
        <v>2.7</v>
      </c>
      <c r="M213" s="18"/>
      <c r="N213" s="18"/>
      <c r="O213" s="18"/>
      <c r="P213" s="18"/>
    </row>
    <row r="214" spans="1:16" x14ac:dyDescent="0.2">
      <c r="A214" s="4">
        <v>46042</v>
      </c>
      <c r="B214" s="1" t="s">
        <v>54</v>
      </c>
      <c r="C214" s="18" t="s">
        <v>15</v>
      </c>
      <c r="D214" s="18">
        <v>3468</v>
      </c>
      <c r="E214" s="18" t="s">
        <v>488</v>
      </c>
      <c r="F214" s="18">
        <v>413.4</v>
      </c>
      <c r="G214" s="18">
        <v>1000</v>
      </c>
      <c r="H214" s="18">
        <v>28</v>
      </c>
      <c r="I214" s="18">
        <v>850</v>
      </c>
      <c r="J214" s="8">
        <f t="shared" si="6"/>
        <v>28850</v>
      </c>
      <c r="K214" s="27">
        <f t="shared" si="5"/>
        <v>0</v>
      </c>
      <c r="L214" s="18"/>
      <c r="M214" s="18"/>
      <c r="N214" s="18"/>
      <c r="O214" s="18"/>
      <c r="P214" s="18"/>
    </row>
    <row r="215" spans="1:16" x14ac:dyDescent="0.2">
      <c r="A215" s="4">
        <v>46042</v>
      </c>
      <c r="B215" s="1" t="s">
        <v>54</v>
      </c>
      <c r="C215" s="18" t="s">
        <v>33</v>
      </c>
      <c r="D215" s="18">
        <v>3230</v>
      </c>
      <c r="E215" s="18" t="s">
        <v>295</v>
      </c>
      <c r="F215" s="18">
        <v>932.8</v>
      </c>
      <c r="G215" s="18">
        <v>500</v>
      </c>
      <c r="H215" s="18">
        <v>110</v>
      </c>
      <c r="I215" s="18">
        <v>300</v>
      </c>
      <c r="J215" s="8">
        <f t="shared" si="6"/>
        <v>55300</v>
      </c>
      <c r="K215" s="27">
        <f t="shared" si="5"/>
        <v>6.6975158304919636E-3</v>
      </c>
      <c r="L215" s="18">
        <v>5.5</v>
      </c>
      <c r="M215" s="18">
        <v>14.6</v>
      </c>
      <c r="N215" s="18"/>
      <c r="O215" s="18">
        <v>111.6</v>
      </c>
      <c r="P215" s="18"/>
    </row>
    <row r="216" spans="1:16" x14ac:dyDescent="0.2">
      <c r="A216" s="4">
        <v>46042</v>
      </c>
      <c r="B216" s="1" t="s">
        <v>54</v>
      </c>
      <c r="C216" s="18" t="s">
        <v>24</v>
      </c>
      <c r="D216" s="18">
        <v>3454</v>
      </c>
      <c r="E216" s="18" t="s">
        <v>483</v>
      </c>
      <c r="F216" s="18">
        <v>6</v>
      </c>
      <c r="G216" s="18">
        <v>3000</v>
      </c>
      <c r="H216" s="18">
        <v>4</v>
      </c>
      <c r="I216" s="18"/>
      <c r="J216" s="8">
        <f t="shared" si="6"/>
        <v>12000</v>
      </c>
      <c r="K216" s="27">
        <f t="shared" si="5"/>
        <v>0.13333333333333333</v>
      </c>
      <c r="L216" s="18">
        <v>0.8</v>
      </c>
      <c r="M216" s="18"/>
      <c r="N216" s="18"/>
      <c r="O216" s="18"/>
      <c r="P216" s="18"/>
    </row>
    <row r="217" spans="1:16" x14ac:dyDescent="0.2">
      <c r="A217" s="4">
        <v>46042</v>
      </c>
      <c r="B217" s="1" t="s">
        <v>54</v>
      </c>
      <c r="C217" s="18" t="s">
        <v>27</v>
      </c>
      <c r="D217" s="18">
        <v>3343</v>
      </c>
      <c r="E217" s="18" t="s">
        <v>482</v>
      </c>
      <c r="F217" s="18">
        <v>40</v>
      </c>
      <c r="G217" s="18">
        <v>2000</v>
      </c>
      <c r="H217" s="18">
        <v>5</v>
      </c>
      <c r="I217" s="18"/>
      <c r="J217" s="8">
        <f t="shared" si="6"/>
        <v>10000</v>
      </c>
      <c r="K217" s="27">
        <f t="shared" si="5"/>
        <v>3.2500000000000001E-2</v>
      </c>
      <c r="L217" s="18">
        <v>1.3</v>
      </c>
      <c r="M217" s="18"/>
      <c r="N217" s="18"/>
      <c r="O217" s="18"/>
      <c r="P217" s="18"/>
    </row>
    <row r="218" spans="1:16" x14ac:dyDescent="0.2">
      <c r="A218" s="4">
        <v>46042</v>
      </c>
      <c r="B218" s="1" t="s">
        <v>54</v>
      </c>
      <c r="C218" s="18" t="s">
        <v>27</v>
      </c>
      <c r="D218" s="18">
        <v>3354</v>
      </c>
      <c r="E218" s="18" t="s">
        <v>496</v>
      </c>
      <c r="F218" s="18">
        <v>263.89999999999998</v>
      </c>
      <c r="G218" s="18">
        <v>500</v>
      </c>
      <c r="H218" s="18">
        <v>17</v>
      </c>
      <c r="I218" s="18">
        <v>200</v>
      </c>
      <c r="J218" s="8">
        <f t="shared" si="6"/>
        <v>8700</v>
      </c>
      <c r="K218" s="27">
        <f t="shared" si="5"/>
        <v>7.6190476190476197E-2</v>
      </c>
      <c r="L218" s="18">
        <v>20</v>
      </c>
      <c r="M218" s="18"/>
      <c r="N218" s="18"/>
      <c r="O218" s="18">
        <v>1.4</v>
      </c>
      <c r="P218" s="18"/>
    </row>
    <row r="219" spans="1:16" x14ac:dyDescent="0.2">
      <c r="A219" s="4">
        <v>46042</v>
      </c>
      <c r="B219" s="1" t="s">
        <v>54</v>
      </c>
      <c r="C219" s="18" t="s">
        <v>24</v>
      </c>
      <c r="D219" s="18">
        <v>3014</v>
      </c>
      <c r="E219" s="18" t="s">
        <v>497</v>
      </c>
      <c r="F219" s="18"/>
      <c r="G219" s="18">
        <v>2400</v>
      </c>
      <c r="H219" s="18">
        <v>10</v>
      </c>
      <c r="I219" s="18">
        <v>600</v>
      </c>
      <c r="J219" s="8">
        <f t="shared" si="6"/>
        <v>24600</v>
      </c>
      <c r="K219" s="27">
        <f t="shared" si="5"/>
        <v>0</v>
      </c>
      <c r="L219" s="18"/>
      <c r="M219" s="18"/>
      <c r="N219" s="18"/>
      <c r="O219" s="18"/>
      <c r="P219" s="18"/>
    </row>
    <row r="220" spans="1:16" x14ac:dyDescent="0.2">
      <c r="A220" s="4">
        <v>46042</v>
      </c>
      <c r="B220" s="1" t="s">
        <v>54</v>
      </c>
      <c r="C220" s="18" t="s">
        <v>24</v>
      </c>
      <c r="D220" s="18">
        <v>3517</v>
      </c>
      <c r="E220" s="18" t="s">
        <v>49</v>
      </c>
      <c r="F220" s="18"/>
      <c r="G220" s="18">
        <v>2000</v>
      </c>
      <c r="H220" s="18">
        <v>4</v>
      </c>
      <c r="I220" s="18"/>
      <c r="J220" s="8">
        <f t="shared" si="6"/>
        <v>8000</v>
      </c>
      <c r="K220" s="27">
        <f t="shared" si="5"/>
        <v>0</v>
      </c>
      <c r="L220" s="18"/>
      <c r="M220" s="18"/>
      <c r="N220" s="18"/>
      <c r="O220" s="18"/>
      <c r="P220" s="18"/>
    </row>
    <row r="221" spans="1:16" x14ac:dyDescent="0.2">
      <c r="A221" s="4">
        <v>46042</v>
      </c>
      <c r="B221" s="1" t="s">
        <v>54</v>
      </c>
      <c r="C221" s="18" t="s">
        <v>24</v>
      </c>
      <c r="D221" s="18">
        <v>3458</v>
      </c>
      <c r="E221" s="18" t="s">
        <v>498</v>
      </c>
      <c r="F221" s="18">
        <v>207</v>
      </c>
      <c r="G221" s="18">
        <v>300</v>
      </c>
      <c r="H221" s="18">
        <v>15</v>
      </c>
      <c r="I221" s="18">
        <v>175</v>
      </c>
      <c r="J221" s="8">
        <f t="shared" si="6"/>
        <v>4675</v>
      </c>
      <c r="K221" s="27">
        <f t="shared" si="5"/>
        <v>7.7294685990338171E-3</v>
      </c>
      <c r="L221" s="18">
        <v>1.6</v>
      </c>
      <c r="M221" s="18"/>
      <c r="N221" s="18"/>
      <c r="O221" s="18"/>
      <c r="P221" s="18"/>
    </row>
    <row r="222" spans="1:16" x14ac:dyDescent="0.2">
      <c r="A222" s="4">
        <v>46042</v>
      </c>
      <c r="B222" s="1" t="s">
        <v>54</v>
      </c>
      <c r="C222" s="18" t="s">
        <v>20</v>
      </c>
      <c r="D222" s="18">
        <v>3514</v>
      </c>
      <c r="E222" s="18" t="s">
        <v>242</v>
      </c>
      <c r="F222" s="18">
        <v>209.1</v>
      </c>
      <c r="G222" s="18">
        <v>2000</v>
      </c>
      <c r="H222" s="18">
        <v>20</v>
      </c>
      <c r="I222" s="18">
        <v>750</v>
      </c>
      <c r="J222" s="8">
        <f t="shared" si="6"/>
        <v>40750</v>
      </c>
      <c r="K222" s="27">
        <f t="shared" si="5"/>
        <v>8.130081300813009E-3</v>
      </c>
      <c r="L222" s="18">
        <v>1.7</v>
      </c>
      <c r="M222" s="18"/>
      <c r="N222" s="18">
        <v>0.5</v>
      </c>
      <c r="O222" s="18"/>
      <c r="P222" s="18"/>
    </row>
    <row r="223" spans="1:16" x14ac:dyDescent="0.2">
      <c r="A223" s="4">
        <v>46042</v>
      </c>
      <c r="B223" s="1" t="s">
        <v>54</v>
      </c>
      <c r="C223" s="18" t="s">
        <v>20</v>
      </c>
      <c r="D223" s="18">
        <v>3542</v>
      </c>
      <c r="E223" s="18" t="s">
        <v>318</v>
      </c>
      <c r="F223" s="18">
        <v>146.1</v>
      </c>
      <c r="G223" s="18">
        <v>1000</v>
      </c>
      <c r="H223" s="18">
        <v>13</v>
      </c>
      <c r="I223" s="18"/>
      <c r="J223" s="8">
        <f t="shared" si="6"/>
        <v>13000</v>
      </c>
      <c r="K223" s="27">
        <f t="shared" si="5"/>
        <v>1.1635865845311431E-2</v>
      </c>
      <c r="L223" s="18">
        <v>1.7</v>
      </c>
      <c r="M223" s="18"/>
      <c r="N223" s="18"/>
      <c r="O223" s="18"/>
      <c r="P223" s="18"/>
    </row>
    <row r="224" spans="1:16" x14ac:dyDescent="0.2">
      <c r="A224" s="4">
        <v>46042</v>
      </c>
      <c r="B224" s="1" t="s">
        <v>54</v>
      </c>
      <c r="C224" s="18" t="s">
        <v>15</v>
      </c>
      <c r="D224" s="18">
        <v>3300</v>
      </c>
      <c r="E224" s="18" t="s">
        <v>499</v>
      </c>
      <c r="F224" s="18"/>
      <c r="G224" s="18">
        <v>1000</v>
      </c>
      <c r="H224" s="18">
        <v>19</v>
      </c>
      <c r="I224" s="18">
        <v>800</v>
      </c>
      <c r="J224" s="8">
        <f t="shared" si="6"/>
        <v>19800</v>
      </c>
      <c r="K224" s="27">
        <f t="shared" si="5"/>
        <v>0</v>
      </c>
      <c r="L224" s="18">
        <v>7</v>
      </c>
      <c r="M224" s="18"/>
      <c r="N224" s="18"/>
      <c r="O224" s="18"/>
      <c r="P224" s="18"/>
    </row>
    <row r="225" spans="1:16" x14ac:dyDescent="0.2">
      <c r="A225" s="4">
        <v>46042</v>
      </c>
      <c r="B225" s="1" t="s">
        <v>54</v>
      </c>
      <c r="C225" s="18" t="s">
        <v>15</v>
      </c>
      <c r="D225" s="18">
        <v>3281</v>
      </c>
      <c r="E225" s="18" t="s">
        <v>500</v>
      </c>
      <c r="F225" s="18"/>
      <c r="G225" s="18">
        <v>500</v>
      </c>
      <c r="H225" s="18">
        <v>6</v>
      </c>
      <c r="I225" s="18">
        <v>200</v>
      </c>
      <c r="J225" s="8">
        <f t="shared" si="6"/>
        <v>3200</v>
      </c>
      <c r="K225" s="27">
        <f t="shared" si="5"/>
        <v>0</v>
      </c>
      <c r="L225" s="18">
        <v>1.5</v>
      </c>
      <c r="M225" s="18"/>
      <c r="N225" s="18"/>
      <c r="O225" s="18"/>
      <c r="P225" s="18"/>
    </row>
    <row r="226" spans="1:16" x14ac:dyDescent="0.2">
      <c r="A226" s="4">
        <v>46042</v>
      </c>
      <c r="B226" s="1" t="s">
        <v>54</v>
      </c>
      <c r="C226" s="18" t="s">
        <v>15</v>
      </c>
      <c r="D226" s="18">
        <v>3467</v>
      </c>
      <c r="E226" s="18" t="s">
        <v>501</v>
      </c>
      <c r="F226" s="18"/>
      <c r="G226" s="18">
        <v>1000</v>
      </c>
      <c r="H226" s="18">
        <v>7</v>
      </c>
      <c r="I226" s="18">
        <v>200</v>
      </c>
      <c r="J226" s="22">
        <f t="shared" si="6"/>
        <v>7200</v>
      </c>
      <c r="K226" s="27">
        <f t="shared" si="5"/>
        <v>0</v>
      </c>
      <c r="L226" s="18">
        <v>3.6</v>
      </c>
      <c r="M226" s="18">
        <v>46144</v>
      </c>
      <c r="N226" s="18"/>
      <c r="O226" s="18"/>
      <c r="P226" s="18"/>
    </row>
    <row r="227" spans="1:16" x14ac:dyDescent="0.2">
      <c r="A227" s="4">
        <v>46042</v>
      </c>
      <c r="B227" s="1" t="s">
        <v>54</v>
      </c>
      <c r="C227" s="18" t="s">
        <v>27</v>
      </c>
      <c r="D227" s="18">
        <v>3303</v>
      </c>
      <c r="E227" s="18" t="s">
        <v>502</v>
      </c>
      <c r="F227" s="18">
        <v>76.900000000000006</v>
      </c>
      <c r="G227" s="18">
        <v>2000</v>
      </c>
      <c r="H227" s="18">
        <v>7</v>
      </c>
      <c r="I227" s="18">
        <v>200</v>
      </c>
      <c r="J227" s="8">
        <f t="shared" si="6"/>
        <v>14200</v>
      </c>
      <c r="K227" s="27">
        <f t="shared" si="5"/>
        <v>0</v>
      </c>
      <c r="L227" s="18"/>
      <c r="M227" s="18"/>
      <c r="N227" s="18"/>
      <c r="O227" s="18"/>
      <c r="P227" s="18"/>
    </row>
    <row r="228" spans="1:16" x14ac:dyDescent="0.2">
      <c r="A228" s="4">
        <v>46042</v>
      </c>
      <c r="B228" s="1" t="s">
        <v>54</v>
      </c>
      <c r="C228" s="18" t="s">
        <v>27</v>
      </c>
      <c r="D228" s="18">
        <v>3304</v>
      </c>
      <c r="E228" s="18" t="s">
        <v>503</v>
      </c>
      <c r="F228" s="18"/>
      <c r="G228" s="18">
        <v>2000</v>
      </c>
      <c r="H228" s="18">
        <v>1</v>
      </c>
      <c r="I228" s="18">
        <v>900</v>
      </c>
      <c r="J228" s="8">
        <f t="shared" si="6"/>
        <v>2900</v>
      </c>
      <c r="K228" s="27">
        <f t="shared" ref="K228:K291" si="7">IFERROR(L228/(F228-O228)*100%,0)</f>
        <v>0</v>
      </c>
      <c r="L228" s="18"/>
      <c r="M228" s="18"/>
      <c r="N228" s="18"/>
      <c r="O228" s="18"/>
      <c r="P228" s="18"/>
    </row>
    <row r="229" spans="1:16" x14ac:dyDescent="0.2">
      <c r="A229" s="4">
        <v>46042</v>
      </c>
      <c r="B229" s="1" t="s">
        <v>54</v>
      </c>
      <c r="C229" s="18" t="s">
        <v>24</v>
      </c>
      <c r="D229" s="18">
        <v>3440</v>
      </c>
      <c r="E229" s="18" t="s">
        <v>504</v>
      </c>
      <c r="F229" s="18">
        <v>32.1</v>
      </c>
      <c r="G229" s="18">
        <v>1500</v>
      </c>
      <c r="H229" s="18">
        <v>4</v>
      </c>
      <c r="I229" s="18">
        <v>900</v>
      </c>
      <c r="J229" s="8">
        <f t="shared" si="6"/>
        <v>6900</v>
      </c>
      <c r="K229" s="27">
        <f t="shared" si="7"/>
        <v>2.4922118380062305E-2</v>
      </c>
      <c r="L229" s="18">
        <v>0.8</v>
      </c>
      <c r="M229" s="18"/>
      <c r="N229" s="18"/>
      <c r="O229" s="18"/>
      <c r="P229" s="18"/>
    </row>
    <row r="230" spans="1:16" x14ac:dyDescent="0.2">
      <c r="A230" s="4">
        <v>46042</v>
      </c>
      <c r="B230" s="1" t="s">
        <v>54</v>
      </c>
      <c r="C230" s="18" t="s">
        <v>24</v>
      </c>
      <c r="D230" s="18">
        <v>3439</v>
      </c>
      <c r="E230" s="18" t="s">
        <v>505</v>
      </c>
      <c r="F230" s="18">
        <v>53.5</v>
      </c>
      <c r="G230" s="18">
        <v>2000</v>
      </c>
      <c r="H230" s="18">
        <v>4</v>
      </c>
      <c r="I230" s="18"/>
      <c r="J230" s="8">
        <f t="shared" si="6"/>
        <v>8000</v>
      </c>
      <c r="K230" s="27">
        <f t="shared" si="7"/>
        <v>9.3457943925233638E-3</v>
      </c>
      <c r="L230" s="18">
        <v>0.5</v>
      </c>
      <c r="M230" s="18"/>
      <c r="N230" s="18"/>
      <c r="O230" s="18"/>
      <c r="P230" s="18"/>
    </row>
    <row r="231" spans="1:16" x14ac:dyDescent="0.2">
      <c r="A231" s="4">
        <v>46042</v>
      </c>
      <c r="B231" s="1" t="s">
        <v>54</v>
      </c>
      <c r="C231" s="18" t="s">
        <v>15</v>
      </c>
      <c r="D231" s="18">
        <v>3576</v>
      </c>
      <c r="E231" s="18" t="s">
        <v>506</v>
      </c>
      <c r="F231" s="18">
        <v>48.4</v>
      </c>
      <c r="G231" s="18">
        <v>150</v>
      </c>
      <c r="H231" s="18">
        <v>4</v>
      </c>
      <c r="I231" s="18"/>
      <c r="J231" s="8">
        <f t="shared" si="6"/>
        <v>600</v>
      </c>
      <c r="K231" s="27">
        <f t="shared" si="7"/>
        <v>6.1983471074380167E-2</v>
      </c>
      <c r="L231" s="18">
        <v>3</v>
      </c>
      <c r="M231" s="18"/>
      <c r="N231" s="18"/>
      <c r="O231" s="18"/>
      <c r="P231" s="18"/>
    </row>
    <row r="232" spans="1:16" x14ac:dyDescent="0.2">
      <c r="A232" s="4">
        <v>46042</v>
      </c>
      <c r="B232" s="1" t="s">
        <v>54</v>
      </c>
      <c r="C232" s="18" t="s">
        <v>37</v>
      </c>
      <c r="D232" s="18">
        <v>3354</v>
      </c>
      <c r="E232" s="18" t="s">
        <v>496</v>
      </c>
      <c r="F232" s="18"/>
      <c r="G232" s="18">
        <v>500</v>
      </c>
      <c r="H232" s="18">
        <v>7</v>
      </c>
      <c r="I232" s="18">
        <v>300</v>
      </c>
      <c r="J232" s="8">
        <f t="shared" si="6"/>
        <v>3800</v>
      </c>
      <c r="K232" s="27">
        <f t="shared" si="7"/>
        <v>0</v>
      </c>
      <c r="L232" s="18"/>
      <c r="M232" s="18"/>
      <c r="N232" s="18"/>
      <c r="O232" s="18"/>
      <c r="P232" s="18"/>
    </row>
    <row r="233" spans="1:16" x14ac:dyDescent="0.2">
      <c r="A233" s="4">
        <v>46042</v>
      </c>
      <c r="B233" s="1" t="s">
        <v>54</v>
      </c>
      <c r="C233" s="18" t="s">
        <v>33</v>
      </c>
      <c r="D233" s="18">
        <v>3268</v>
      </c>
      <c r="E233" s="18" t="s">
        <v>507</v>
      </c>
      <c r="F233" s="18">
        <v>447.2</v>
      </c>
      <c r="G233" s="18">
        <v>500</v>
      </c>
      <c r="H233" s="18">
        <v>40</v>
      </c>
      <c r="I233" s="18"/>
      <c r="J233" s="8">
        <f t="shared" si="6"/>
        <v>20000</v>
      </c>
      <c r="K233" s="27">
        <f t="shared" si="7"/>
        <v>5.1698670605613006E-3</v>
      </c>
      <c r="L233" s="18">
        <v>2.1</v>
      </c>
      <c r="M233" s="18">
        <v>6.3</v>
      </c>
      <c r="N233" s="18"/>
      <c r="O233" s="18">
        <v>41</v>
      </c>
      <c r="P233" s="18"/>
    </row>
    <row r="234" spans="1:16" x14ac:dyDescent="0.2">
      <c r="A234" s="23">
        <v>21</v>
      </c>
      <c r="B234" s="1" t="s">
        <v>14</v>
      </c>
      <c r="C234" s="18" t="s">
        <v>15</v>
      </c>
      <c r="D234" s="18">
        <v>3014</v>
      </c>
      <c r="E234" s="18" t="s">
        <v>508</v>
      </c>
      <c r="F234" s="18"/>
      <c r="G234" s="18"/>
      <c r="H234" s="18"/>
      <c r="I234" s="18"/>
      <c r="J234" s="8">
        <f t="shared" si="6"/>
        <v>0</v>
      </c>
      <c r="K234" s="27">
        <f t="shared" si="7"/>
        <v>0</v>
      </c>
      <c r="L234" s="18"/>
      <c r="M234" s="18"/>
      <c r="N234" s="18"/>
      <c r="O234" s="18"/>
      <c r="P234" s="18" t="s">
        <v>509</v>
      </c>
    </row>
    <row r="235" spans="1:16" x14ac:dyDescent="0.2">
      <c r="A235" s="23">
        <v>21</v>
      </c>
      <c r="B235" s="1" t="s">
        <v>14</v>
      </c>
      <c r="C235" s="18" t="s">
        <v>15</v>
      </c>
      <c r="D235" s="18">
        <v>3576</v>
      </c>
      <c r="E235" s="18" t="s">
        <v>506</v>
      </c>
      <c r="F235" s="18">
        <v>803.1</v>
      </c>
      <c r="G235" s="18">
        <v>150</v>
      </c>
      <c r="H235" s="18">
        <v>58</v>
      </c>
      <c r="I235" s="18"/>
      <c r="J235" s="8">
        <f t="shared" si="6"/>
        <v>8700</v>
      </c>
      <c r="K235" s="27">
        <f t="shared" si="7"/>
        <v>1.2327231976092642E-2</v>
      </c>
      <c r="L235" s="18">
        <v>9.9</v>
      </c>
      <c r="M235" s="18"/>
      <c r="N235" s="18">
        <v>6.5</v>
      </c>
      <c r="O235" s="18"/>
      <c r="P235" s="18"/>
    </row>
    <row r="236" spans="1:16" x14ac:dyDescent="0.2">
      <c r="A236" s="23">
        <v>21</v>
      </c>
      <c r="B236" s="1" t="s">
        <v>14</v>
      </c>
      <c r="C236" s="18" t="s">
        <v>20</v>
      </c>
      <c r="D236" s="18">
        <v>3542</v>
      </c>
      <c r="E236" s="18" t="s">
        <v>318</v>
      </c>
      <c r="F236" s="18">
        <v>318.10000000000002</v>
      </c>
      <c r="G236" s="18">
        <v>1000</v>
      </c>
      <c r="H236" s="18">
        <v>31</v>
      </c>
      <c r="I236" s="18"/>
      <c r="J236" s="8">
        <f t="shared" si="6"/>
        <v>31000</v>
      </c>
      <c r="K236" s="27">
        <f t="shared" si="7"/>
        <v>7.2304306821754155E-3</v>
      </c>
      <c r="L236" s="18">
        <v>2.2999999999999998</v>
      </c>
      <c r="M236" s="18"/>
      <c r="N236" s="18"/>
      <c r="O236" s="18"/>
      <c r="P236" s="18"/>
    </row>
    <row r="237" spans="1:16" x14ac:dyDescent="0.2">
      <c r="A237" s="23">
        <v>21</v>
      </c>
      <c r="B237" s="1" t="s">
        <v>14</v>
      </c>
      <c r="C237" s="18" t="s">
        <v>20</v>
      </c>
      <c r="D237" s="18">
        <v>3493</v>
      </c>
      <c r="E237" s="18" t="s">
        <v>510</v>
      </c>
      <c r="F237" s="18">
        <v>273.60000000000002</v>
      </c>
      <c r="G237" s="18">
        <v>500</v>
      </c>
      <c r="H237" s="18">
        <v>21</v>
      </c>
      <c r="I237" s="18"/>
      <c r="J237" s="8">
        <f t="shared" si="6"/>
        <v>10500</v>
      </c>
      <c r="K237" s="27">
        <f t="shared" si="7"/>
        <v>1.1695906432748537E-2</v>
      </c>
      <c r="L237" s="18">
        <v>3.2</v>
      </c>
      <c r="M237" s="18"/>
      <c r="N237" s="18"/>
      <c r="O237" s="18"/>
      <c r="P237" s="18"/>
    </row>
    <row r="238" spans="1:16" x14ac:dyDescent="0.2">
      <c r="A238" s="23">
        <v>21</v>
      </c>
      <c r="B238" s="1" t="s">
        <v>14</v>
      </c>
      <c r="C238" s="18" t="s">
        <v>20</v>
      </c>
      <c r="D238" s="18">
        <v>3450</v>
      </c>
      <c r="E238" s="18" t="s">
        <v>373</v>
      </c>
      <c r="F238" s="18">
        <v>111.9</v>
      </c>
      <c r="G238" s="18">
        <v>500</v>
      </c>
      <c r="H238" s="18">
        <v>4</v>
      </c>
      <c r="I238" s="18"/>
      <c r="J238" s="8">
        <f t="shared" si="6"/>
        <v>2000</v>
      </c>
      <c r="K238" s="27">
        <f t="shared" si="7"/>
        <v>3.4852546916890076E-2</v>
      </c>
      <c r="L238" s="18">
        <v>3.9</v>
      </c>
      <c r="M238" s="18"/>
      <c r="N238" s="18"/>
      <c r="O238" s="18"/>
      <c r="P238" s="18"/>
    </row>
    <row r="239" spans="1:16" x14ac:dyDescent="0.2">
      <c r="A239" s="23">
        <v>21</v>
      </c>
      <c r="B239" s="1" t="s">
        <v>14</v>
      </c>
      <c r="C239" s="18" t="s">
        <v>24</v>
      </c>
      <c r="D239" s="18">
        <v>3439</v>
      </c>
      <c r="E239" s="18" t="s">
        <v>505</v>
      </c>
      <c r="F239" s="18">
        <v>276.89999999999998</v>
      </c>
      <c r="G239" s="18">
        <v>2000</v>
      </c>
      <c r="H239" s="18">
        <v>22</v>
      </c>
      <c r="I239" s="18"/>
      <c r="J239" s="8">
        <f t="shared" si="6"/>
        <v>44000</v>
      </c>
      <c r="K239" s="27">
        <f t="shared" si="7"/>
        <v>5.417118093174432E-3</v>
      </c>
      <c r="L239" s="18">
        <v>1.5</v>
      </c>
      <c r="M239" s="18"/>
      <c r="N239" s="18"/>
      <c r="O239" s="18"/>
      <c r="P239" s="18"/>
    </row>
    <row r="240" spans="1:16" x14ac:dyDescent="0.2">
      <c r="A240" s="23">
        <v>21</v>
      </c>
      <c r="B240" s="1" t="s">
        <v>14</v>
      </c>
      <c r="C240" s="18" t="s">
        <v>24</v>
      </c>
      <c r="D240" s="18">
        <v>3438</v>
      </c>
      <c r="E240" s="18" t="s">
        <v>254</v>
      </c>
      <c r="F240" s="18">
        <v>50.6</v>
      </c>
      <c r="G240" s="18">
        <v>1500</v>
      </c>
      <c r="H240" s="18">
        <v>11</v>
      </c>
      <c r="I240" s="18">
        <v>800</v>
      </c>
      <c r="J240" s="8">
        <f t="shared" si="6"/>
        <v>17300</v>
      </c>
      <c r="K240" s="27">
        <f t="shared" si="7"/>
        <v>0</v>
      </c>
      <c r="L240" s="18"/>
      <c r="M240" s="18"/>
      <c r="N240" s="18"/>
      <c r="O240" s="18"/>
      <c r="P240" s="18"/>
    </row>
    <row r="241" spans="1:16" x14ac:dyDescent="0.2">
      <c r="A241" s="23">
        <v>21</v>
      </c>
      <c r="B241" s="1" t="s">
        <v>14</v>
      </c>
      <c r="C241" s="18" t="s">
        <v>24</v>
      </c>
      <c r="D241" s="18">
        <v>3502</v>
      </c>
      <c r="E241" s="18" t="s">
        <v>511</v>
      </c>
      <c r="F241" s="18">
        <v>52.5</v>
      </c>
      <c r="G241" s="18">
        <v>2000</v>
      </c>
      <c r="H241" s="18">
        <v>7</v>
      </c>
      <c r="I241" s="18"/>
      <c r="J241" s="8">
        <f t="shared" si="6"/>
        <v>14000</v>
      </c>
      <c r="K241" s="27">
        <f t="shared" si="7"/>
        <v>1.9047619047619049E-2</v>
      </c>
      <c r="L241" s="18">
        <v>1</v>
      </c>
      <c r="M241" s="18"/>
      <c r="N241" s="18"/>
      <c r="O241" s="18"/>
      <c r="P241" s="18"/>
    </row>
    <row r="242" spans="1:16" x14ac:dyDescent="0.2">
      <c r="A242" s="23">
        <v>21</v>
      </c>
      <c r="B242" s="1" t="s">
        <v>14</v>
      </c>
      <c r="C242" s="18" t="s">
        <v>27</v>
      </c>
      <c r="D242" s="18">
        <v>3343</v>
      </c>
      <c r="E242" s="18" t="s">
        <v>482</v>
      </c>
      <c r="F242" s="18">
        <v>145.19999999999999</v>
      </c>
      <c r="G242" s="18">
        <v>2000</v>
      </c>
      <c r="H242" s="18">
        <v>24</v>
      </c>
      <c r="I242" s="18"/>
      <c r="J242" s="8">
        <f t="shared" si="6"/>
        <v>48000</v>
      </c>
      <c r="K242" s="27">
        <f t="shared" si="7"/>
        <v>3.5812672176308541E-2</v>
      </c>
      <c r="L242" s="18">
        <v>5.2</v>
      </c>
      <c r="M242" s="18">
        <v>5.4</v>
      </c>
      <c r="N242" s="18"/>
      <c r="O242" s="18"/>
      <c r="P242" s="18"/>
    </row>
    <row r="243" spans="1:16" x14ac:dyDescent="0.2">
      <c r="A243" s="23">
        <v>21</v>
      </c>
      <c r="B243" s="1" t="s">
        <v>14</v>
      </c>
      <c r="C243" s="18" t="s">
        <v>33</v>
      </c>
      <c r="D243" s="18">
        <v>3268</v>
      </c>
      <c r="E243" s="18" t="s">
        <v>507</v>
      </c>
      <c r="F243" s="18">
        <v>691.4</v>
      </c>
      <c r="G243" s="18">
        <v>500</v>
      </c>
      <c r="H243" s="18">
        <v>71</v>
      </c>
      <c r="I243" s="18">
        <v>350</v>
      </c>
      <c r="J243" s="8">
        <f t="shared" si="6"/>
        <v>35850</v>
      </c>
      <c r="K243" s="27">
        <f t="shared" si="7"/>
        <v>1.0543390105433901E-2</v>
      </c>
      <c r="L243" s="18">
        <v>6.5</v>
      </c>
      <c r="M243" s="18">
        <v>7.2</v>
      </c>
      <c r="N243" s="18"/>
      <c r="O243" s="18">
        <v>74.900000000000006</v>
      </c>
      <c r="P243" s="18"/>
    </row>
    <row r="244" spans="1:16" x14ac:dyDescent="0.2">
      <c r="A244" s="23">
        <v>21</v>
      </c>
      <c r="B244" s="1" t="s">
        <v>14</v>
      </c>
      <c r="C244" s="18" t="s">
        <v>33</v>
      </c>
      <c r="D244" s="18">
        <v>3466</v>
      </c>
      <c r="E244" s="18" t="s">
        <v>512</v>
      </c>
      <c r="F244" s="18">
        <v>135.9</v>
      </c>
      <c r="G244" s="18">
        <v>500</v>
      </c>
      <c r="H244" s="18">
        <v>13</v>
      </c>
      <c r="I244" s="18">
        <v>280</v>
      </c>
      <c r="J244" s="8">
        <f t="shared" si="6"/>
        <v>6780</v>
      </c>
      <c r="K244" s="27">
        <f t="shared" si="7"/>
        <v>2.2332506203473945E-2</v>
      </c>
      <c r="L244" s="18">
        <v>2.7</v>
      </c>
      <c r="M244" s="18">
        <v>1</v>
      </c>
      <c r="N244" s="18"/>
      <c r="O244" s="18">
        <v>15</v>
      </c>
      <c r="P244" s="18" t="s">
        <v>269</v>
      </c>
    </row>
    <row r="245" spans="1:16" x14ac:dyDescent="0.2">
      <c r="A245" s="23">
        <v>21</v>
      </c>
      <c r="B245" s="1" t="s">
        <v>14</v>
      </c>
      <c r="C245" s="18" t="s">
        <v>33</v>
      </c>
      <c r="D245" s="18">
        <v>3267</v>
      </c>
      <c r="E245" s="18" t="s">
        <v>513</v>
      </c>
      <c r="F245" s="18">
        <v>728.2</v>
      </c>
      <c r="G245" s="18">
        <v>500</v>
      </c>
      <c r="H245" s="18">
        <v>53</v>
      </c>
      <c r="I245" s="18"/>
      <c r="J245" s="8">
        <f t="shared" si="6"/>
        <v>26500</v>
      </c>
      <c r="K245" s="27">
        <f t="shared" si="7"/>
        <v>1.2658227848101266E-2</v>
      </c>
      <c r="L245" s="18">
        <v>8</v>
      </c>
      <c r="M245" s="18">
        <v>8</v>
      </c>
      <c r="N245" s="18"/>
      <c r="O245" s="18">
        <v>96.2</v>
      </c>
      <c r="P245" s="18"/>
    </row>
    <row r="246" spans="1:16" x14ac:dyDescent="0.2">
      <c r="A246" s="23">
        <v>21</v>
      </c>
      <c r="B246" s="1" t="s">
        <v>14</v>
      </c>
      <c r="C246" s="18" t="s">
        <v>37</v>
      </c>
      <c r="D246" s="18">
        <v>3354</v>
      </c>
      <c r="E246" s="18" t="s">
        <v>496</v>
      </c>
      <c r="F246" s="18"/>
      <c r="G246" s="18">
        <v>500</v>
      </c>
      <c r="H246" s="18"/>
      <c r="I246" s="18"/>
      <c r="J246" s="8">
        <f t="shared" si="6"/>
        <v>0</v>
      </c>
      <c r="K246" s="27">
        <f t="shared" si="7"/>
        <v>0</v>
      </c>
      <c r="L246" s="18"/>
      <c r="M246" s="18"/>
      <c r="N246" s="18"/>
      <c r="O246" s="18"/>
      <c r="P246" s="18"/>
    </row>
    <row r="247" spans="1:16" x14ac:dyDescent="0.2">
      <c r="A247" s="23">
        <v>46044</v>
      </c>
      <c r="B247" s="18" t="s">
        <v>40</v>
      </c>
      <c r="C247" s="18" t="s">
        <v>20</v>
      </c>
      <c r="D247" s="18">
        <v>3450</v>
      </c>
      <c r="E247" s="18" t="s">
        <v>373</v>
      </c>
      <c r="F247" s="18">
        <v>224.6</v>
      </c>
      <c r="G247" s="18">
        <v>500</v>
      </c>
      <c r="H247" s="18">
        <v>10</v>
      </c>
      <c r="I247" s="18">
        <v>135</v>
      </c>
      <c r="J247" s="8">
        <f t="shared" si="6"/>
        <v>5135</v>
      </c>
      <c r="K247" s="27">
        <f t="shared" si="7"/>
        <v>2.5823686553873553E-2</v>
      </c>
      <c r="L247" s="18">
        <v>5.8</v>
      </c>
      <c r="M247" s="18"/>
      <c r="N247" s="18"/>
      <c r="O247" s="18"/>
      <c r="P247" s="18"/>
    </row>
    <row r="248" spans="1:16" x14ac:dyDescent="0.2">
      <c r="A248" s="23">
        <v>46044</v>
      </c>
      <c r="B248" s="18" t="s">
        <v>40</v>
      </c>
      <c r="C248" s="18" t="s">
        <v>15</v>
      </c>
      <c r="D248" s="18">
        <v>3576</v>
      </c>
      <c r="E248" s="18" t="s">
        <v>506</v>
      </c>
      <c r="F248" s="18">
        <v>548.79999999999995</v>
      </c>
      <c r="G248" s="18">
        <v>150</v>
      </c>
      <c r="H248" s="18">
        <v>42</v>
      </c>
      <c r="I248" s="18"/>
      <c r="J248" s="8">
        <f t="shared" si="6"/>
        <v>6300</v>
      </c>
      <c r="K248" s="27">
        <f t="shared" si="7"/>
        <v>6.9368382621394671E-3</v>
      </c>
      <c r="L248" s="18">
        <v>3.8</v>
      </c>
      <c r="M248" s="18"/>
      <c r="N248" s="18">
        <v>4.7</v>
      </c>
      <c r="O248" s="18">
        <v>1</v>
      </c>
      <c r="P248" s="18"/>
    </row>
    <row r="249" spans="1:16" x14ac:dyDescent="0.2">
      <c r="A249" s="23">
        <v>46044</v>
      </c>
      <c r="B249" s="18" t="s">
        <v>40</v>
      </c>
      <c r="C249" s="18" t="s">
        <v>15</v>
      </c>
      <c r="D249" s="18">
        <v>3511</v>
      </c>
      <c r="E249" s="18" t="s">
        <v>468</v>
      </c>
      <c r="F249" s="18">
        <v>133.4</v>
      </c>
      <c r="G249" s="18">
        <v>2000</v>
      </c>
      <c r="H249" s="18">
        <v>12</v>
      </c>
      <c r="I249" s="18">
        <v>1200</v>
      </c>
      <c r="J249" s="8">
        <f t="shared" si="6"/>
        <v>25200</v>
      </c>
      <c r="K249" s="27">
        <f t="shared" si="7"/>
        <v>2.2488755622188904E-3</v>
      </c>
      <c r="L249" s="18">
        <v>0.3</v>
      </c>
      <c r="M249" s="18"/>
      <c r="N249" s="18"/>
      <c r="O249" s="18"/>
      <c r="P249" s="18"/>
    </row>
    <row r="250" spans="1:16" x14ac:dyDescent="0.2">
      <c r="A250" s="23">
        <v>46044</v>
      </c>
      <c r="B250" s="18" t="s">
        <v>40</v>
      </c>
      <c r="C250" s="18" t="s">
        <v>24</v>
      </c>
      <c r="D250" s="18">
        <v>3502</v>
      </c>
      <c r="E250" s="18" t="s">
        <v>511</v>
      </c>
      <c r="F250" s="18">
        <v>113.3</v>
      </c>
      <c r="G250" s="18">
        <v>2000</v>
      </c>
      <c r="H250" s="18">
        <v>26</v>
      </c>
      <c r="I250" s="18">
        <v>400</v>
      </c>
      <c r="J250" s="8">
        <f t="shared" si="6"/>
        <v>52400</v>
      </c>
      <c r="K250" s="27">
        <f t="shared" si="7"/>
        <v>2.6478375992939097E-3</v>
      </c>
      <c r="L250" s="18">
        <v>0.3</v>
      </c>
      <c r="M250" s="18"/>
      <c r="N250" s="18"/>
      <c r="O250" s="18"/>
      <c r="P250" s="18"/>
    </row>
    <row r="251" spans="1:16" x14ac:dyDescent="0.2">
      <c r="A251" s="23">
        <v>46044</v>
      </c>
      <c r="B251" s="18" t="s">
        <v>40</v>
      </c>
      <c r="C251" s="18" t="s">
        <v>24</v>
      </c>
      <c r="D251" s="18">
        <v>3399</v>
      </c>
      <c r="E251" s="18" t="s">
        <v>514</v>
      </c>
      <c r="F251" s="18">
        <v>105.7</v>
      </c>
      <c r="G251" s="18">
        <v>3000</v>
      </c>
      <c r="H251" s="18">
        <v>20</v>
      </c>
      <c r="I251" s="18"/>
      <c r="J251" s="8">
        <f t="shared" si="6"/>
        <v>60000</v>
      </c>
      <c r="K251" s="27">
        <f t="shared" si="7"/>
        <v>1.8921475875118259E-3</v>
      </c>
      <c r="L251" s="18">
        <v>0.2</v>
      </c>
      <c r="M251" s="18"/>
      <c r="N251" s="18">
        <v>0.5</v>
      </c>
      <c r="O251" s="18"/>
      <c r="P251" s="18"/>
    </row>
    <row r="252" spans="1:16" x14ac:dyDescent="0.2">
      <c r="A252" s="23">
        <v>46044</v>
      </c>
      <c r="B252" s="18" t="s">
        <v>40</v>
      </c>
      <c r="C252" s="18" t="s">
        <v>27</v>
      </c>
      <c r="D252" s="18">
        <v>3343</v>
      </c>
      <c r="E252" s="18" t="s">
        <v>482</v>
      </c>
      <c r="F252" s="18">
        <v>151.30000000000001</v>
      </c>
      <c r="G252" s="18">
        <v>2000</v>
      </c>
      <c r="H252" s="18">
        <v>17</v>
      </c>
      <c r="I252" s="18"/>
      <c r="J252" s="8">
        <f t="shared" si="6"/>
        <v>34000</v>
      </c>
      <c r="K252" s="27">
        <f t="shared" si="7"/>
        <v>7.9312623925974872E-3</v>
      </c>
      <c r="L252" s="18">
        <v>1.2</v>
      </c>
      <c r="M252" s="18">
        <v>2.2000000000000002</v>
      </c>
      <c r="N252" s="18"/>
      <c r="O252" s="18"/>
      <c r="P252" s="18"/>
    </row>
    <row r="253" spans="1:16" x14ac:dyDescent="0.2">
      <c r="A253" s="23">
        <v>46044</v>
      </c>
      <c r="B253" s="18" t="s">
        <v>40</v>
      </c>
      <c r="C253" s="18" t="s">
        <v>33</v>
      </c>
      <c r="D253" s="18">
        <v>3267</v>
      </c>
      <c r="E253" s="18" t="s">
        <v>515</v>
      </c>
      <c r="F253" s="18">
        <v>136.80000000000001</v>
      </c>
      <c r="G253" s="18">
        <v>500</v>
      </c>
      <c r="H253" s="18">
        <v>9</v>
      </c>
      <c r="I253" s="18">
        <v>300</v>
      </c>
      <c r="J253" s="8">
        <f t="shared" si="6"/>
        <v>4800</v>
      </c>
      <c r="K253" s="27">
        <f t="shared" si="7"/>
        <v>1.0160880609652836E-2</v>
      </c>
      <c r="L253" s="18">
        <v>1.2</v>
      </c>
      <c r="M253" s="18"/>
      <c r="N253" s="18"/>
      <c r="O253" s="18">
        <v>18.7</v>
      </c>
      <c r="P253" s="18"/>
    </row>
    <row r="254" spans="1:16" x14ac:dyDescent="0.2">
      <c r="A254" s="23">
        <v>46044</v>
      </c>
      <c r="B254" s="18" t="s">
        <v>40</v>
      </c>
      <c r="C254" s="18" t="s">
        <v>33</v>
      </c>
      <c r="D254" s="18">
        <v>3271</v>
      </c>
      <c r="E254" s="18" t="s">
        <v>516</v>
      </c>
      <c r="F254" s="18">
        <v>111</v>
      </c>
      <c r="G254" s="18">
        <v>1000</v>
      </c>
      <c r="H254" s="18">
        <v>9</v>
      </c>
      <c r="I254" s="18">
        <v>300</v>
      </c>
      <c r="J254" s="8">
        <f t="shared" si="6"/>
        <v>9300</v>
      </c>
      <c r="K254" s="27">
        <f t="shared" si="7"/>
        <v>7.4035453597497386E-2</v>
      </c>
      <c r="L254" s="18">
        <v>7.1</v>
      </c>
      <c r="M254" s="18"/>
      <c r="N254" s="18"/>
      <c r="O254" s="18">
        <v>15.1</v>
      </c>
      <c r="P254" s="18"/>
    </row>
    <row r="255" spans="1:16" x14ac:dyDescent="0.2">
      <c r="A255" s="23">
        <v>46044</v>
      </c>
      <c r="B255" s="18" t="s">
        <v>40</v>
      </c>
      <c r="C255" s="18" t="s">
        <v>33</v>
      </c>
      <c r="D255" s="18">
        <v>3418</v>
      </c>
      <c r="E255" s="18" t="s">
        <v>517</v>
      </c>
      <c r="F255" s="18">
        <v>321.60000000000002</v>
      </c>
      <c r="G255" s="18">
        <v>500</v>
      </c>
      <c r="H255" s="18">
        <v>32</v>
      </c>
      <c r="I255" s="18">
        <v>400</v>
      </c>
      <c r="J255" s="8">
        <f t="shared" si="6"/>
        <v>16400</v>
      </c>
      <c r="K255" s="27">
        <f t="shared" si="7"/>
        <v>1.1462313303230286E-2</v>
      </c>
      <c r="L255" s="18">
        <v>3.3</v>
      </c>
      <c r="M255" s="18"/>
      <c r="N255" s="18"/>
      <c r="O255" s="18">
        <v>33.700000000000003</v>
      </c>
      <c r="P255" s="18"/>
    </row>
    <row r="256" spans="1:16" x14ac:dyDescent="0.2">
      <c r="A256" s="23">
        <v>46044</v>
      </c>
      <c r="B256" s="18" t="s">
        <v>40</v>
      </c>
      <c r="C256" s="18" t="s">
        <v>33</v>
      </c>
      <c r="D256" s="18">
        <v>3235</v>
      </c>
      <c r="E256" s="18" t="s">
        <v>88</v>
      </c>
      <c r="F256" s="18">
        <v>220.2</v>
      </c>
      <c r="G256" s="18">
        <v>500</v>
      </c>
      <c r="H256" s="18">
        <v>21</v>
      </c>
      <c r="I256" s="18">
        <v>180</v>
      </c>
      <c r="J256" s="8">
        <f t="shared" ref="J256:J300" si="8">G256*H256+I256</f>
        <v>10680</v>
      </c>
      <c r="K256" s="27">
        <f t="shared" si="7"/>
        <v>2.7649769585253461E-2</v>
      </c>
      <c r="L256" s="18">
        <v>5.4</v>
      </c>
      <c r="M256" s="18">
        <v>5.3</v>
      </c>
      <c r="N256" s="18"/>
      <c r="O256" s="18">
        <v>24.9</v>
      </c>
      <c r="P256" s="18"/>
    </row>
    <row r="257" spans="1:16" x14ac:dyDescent="0.2">
      <c r="A257" s="23">
        <v>46044</v>
      </c>
      <c r="B257" s="18" t="s">
        <v>40</v>
      </c>
      <c r="C257" s="18" t="s">
        <v>33</v>
      </c>
      <c r="D257" s="18">
        <v>3423</v>
      </c>
      <c r="E257" s="18" t="s">
        <v>518</v>
      </c>
      <c r="F257" s="18">
        <v>128.4</v>
      </c>
      <c r="G257" s="18">
        <v>500</v>
      </c>
      <c r="H257" s="18">
        <v>14</v>
      </c>
      <c r="I257" s="18"/>
      <c r="J257" s="8">
        <f t="shared" si="8"/>
        <v>7000</v>
      </c>
      <c r="K257" s="27">
        <f t="shared" si="7"/>
        <v>1.5775635407537247E-2</v>
      </c>
      <c r="L257" s="18">
        <v>1.8</v>
      </c>
      <c r="M257" s="18">
        <v>2.2000000000000002</v>
      </c>
      <c r="N257" s="18"/>
      <c r="O257" s="18">
        <v>14.3</v>
      </c>
      <c r="P257" s="18"/>
    </row>
    <row r="258" spans="1:16" x14ac:dyDescent="0.2">
      <c r="A258" s="23">
        <v>46044</v>
      </c>
      <c r="B258" s="18" t="s">
        <v>40</v>
      </c>
      <c r="C258" s="18" t="s">
        <v>15</v>
      </c>
      <c r="D258" s="18">
        <v>3608</v>
      </c>
      <c r="E258" s="18" t="s">
        <v>519</v>
      </c>
      <c r="F258" s="18">
        <v>248.6</v>
      </c>
      <c r="G258" s="18">
        <v>1000</v>
      </c>
      <c r="H258" s="18">
        <v>21</v>
      </c>
      <c r="I258" s="18">
        <v>190</v>
      </c>
      <c r="J258" s="8">
        <f t="shared" si="8"/>
        <v>21190</v>
      </c>
      <c r="K258" s="27">
        <f t="shared" si="7"/>
        <v>9.2518101367658877E-3</v>
      </c>
      <c r="L258" s="18">
        <v>2.2999999999999998</v>
      </c>
      <c r="M258" s="18"/>
      <c r="N258" s="18">
        <v>5.5</v>
      </c>
      <c r="O258" s="18"/>
      <c r="P258" s="18"/>
    </row>
    <row r="259" spans="1:16" x14ac:dyDescent="0.2">
      <c r="A259" s="23">
        <v>46045</v>
      </c>
      <c r="B259" s="1" t="s">
        <v>54</v>
      </c>
      <c r="C259" s="18" t="s">
        <v>33</v>
      </c>
      <c r="D259" s="18">
        <v>3423</v>
      </c>
      <c r="E259" s="18" t="s">
        <v>518</v>
      </c>
      <c r="F259" s="18">
        <v>171</v>
      </c>
      <c r="G259" s="18">
        <v>500</v>
      </c>
      <c r="H259" s="18">
        <v>33</v>
      </c>
      <c r="I259" s="18">
        <v>250</v>
      </c>
      <c r="J259" s="8">
        <f t="shared" si="8"/>
        <v>16750</v>
      </c>
      <c r="K259" s="27">
        <f t="shared" si="7"/>
        <v>1.3029315960912053E-2</v>
      </c>
      <c r="L259" s="18">
        <v>2</v>
      </c>
      <c r="M259" s="18">
        <v>2.7</v>
      </c>
      <c r="N259" s="18"/>
      <c r="O259" s="18">
        <v>17.5</v>
      </c>
      <c r="P259" s="18"/>
    </row>
    <row r="260" spans="1:16" x14ac:dyDescent="0.2">
      <c r="A260" s="23">
        <v>46045</v>
      </c>
      <c r="B260" s="1" t="s">
        <v>54</v>
      </c>
      <c r="C260" s="18" t="s">
        <v>27</v>
      </c>
      <c r="D260" s="18">
        <v>3343</v>
      </c>
      <c r="E260" s="18" t="s">
        <v>482</v>
      </c>
      <c r="F260" s="18">
        <v>190</v>
      </c>
      <c r="G260" s="18">
        <v>2000</v>
      </c>
      <c r="H260" s="18">
        <v>22</v>
      </c>
      <c r="I260" s="18">
        <v>600</v>
      </c>
      <c r="J260" s="8">
        <f t="shared" si="8"/>
        <v>44600</v>
      </c>
      <c r="K260" s="27">
        <f t="shared" si="7"/>
        <v>0</v>
      </c>
      <c r="L260" s="18"/>
      <c r="M260" s="18"/>
      <c r="N260" s="18"/>
      <c r="O260" s="18"/>
      <c r="P260" s="18"/>
    </row>
    <row r="261" spans="1:16" x14ac:dyDescent="0.2">
      <c r="A261" s="23">
        <v>46045</v>
      </c>
      <c r="B261" s="1" t="s">
        <v>54</v>
      </c>
      <c r="C261" s="18" t="s">
        <v>24</v>
      </c>
      <c r="D261" s="18">
        <v>3399</v>
      </c>
      <c r="E261" s="18" t="s">
        <v>514</v>
      </c>
      <c r="F261" s="18"/>
      <c r="G261" s="18">
        <v>3000</v>
      </c>
      <c r="H261" s="18">
        <v>10</v>
      </c>
      <c r="I261" s="18">
        <v>2000</v>
      </c>
      <c r="J261" s="8">
        <f t="shared" si="8"/>
        <v>32000</v>
      </c>
      <c r="K261" s="27">
        <f t="shared" si="7"/>
        <v>0</v>
      </c>
      <c r="L261" s="18"/>
      <c r="M261" s="18"/>
      <c r="N261" s="18"/>
      <c r="O261" s="18"/>
      <c r="P261" s="18"/>
    </row>
    <row r="262" spans="1:16" x14ac:dyDescent="0.2">
      <c r="A262" s="23">
        <v>46045</v>
      </c>
      <c r="B262" s="1" t="s">
        <v>54</v>
      </c>
      <c r="C262" s="18" t="s">
        <v>20</v>
      </c>
      <c r="D262" s="18">
        <v>3414</v>
      </c>
      <c r="E262" s="18" t="s">
        <v>520</v>
      </c>
      <c r="F262" s="18">
        <v>188</v>
      </c>
      <c r="G262" s="18">
        <v>500</v>
      </c>
      <c r="H262" s="18">
        <v>11</v>
      </c>
      <c r="I262" s="18">
        <v>400</v>
      </c>
      <c r="J262" s="8">
        <f t="shared" si="8"/>
        <v>5900</v>
      </c>
      <c r="K262" s="27">
        <f t="shared" si="7"/>
        <v>1.3297872340425532E-2</v>
      </c>
      <c r="L262" s="18">
        <v>2.5</v>
      </c>
      <c r="M262" s="18"/>
      <c r="N262" s="18"/>
      <c r="O262" s="18"/>
      <c r="P262" s="18"/>
    </row>
    <row r="263" spans="1:16" x14ac:dyDescent="0.2">
      <c r="A263" s="23">
        <v>46045</v>
      </c>
      <c r="B263" s="1" t="s">
        <v>54</v>
      </c>
      <c r="C263" s="18" t="s">
        <v>15</v>
      </c>
      <c r="D263" s="18">
        <v>3452</v>
      </c>
      <c r="E263" s="18" t="s">
        <v>521</v>
      </c>
      <c r="F263" s="18">
        <v>235.3</v>
      </c>
      <c r="G263" s="18">
        <v>800</v>
      </c>
      <c r="H263" s="18">
        <v>23</v>
      </c>
      <c r="I263" s="18">
        <v>450</v>
      </c>
      <c r="J263" s="8">
        <f t="shared" si="8"/>
        <v>18850</v>
      </c>
      <c r="K263" s="27">
        <f t="shared" si="7"/>
        <v>4.2498937526561836E-2</v>
      </c>
      <c r="L263" s="18">
        <v>10</v>
      </c>
      <c r="M263" s="18"/>
      <c r="N263" s="18"/>
      <c r="O263" s="18"/>
      <c r="P263" s="18"/>
    </row>
    <row r="264" spans="1:16" x14ac:dyDescent="0.2">
      <c r="A264" s="23">
        <v>46045</v>
      </c>
      <c r="B264" s="1" t="s">
        <v>54</v>
      </c>
      <c r="C264" s="18" t="s">
        <v>20</v>
      </c>
      <c r="D264" s="18">
        <v>3504</v>
      </c>
      <c r="E264" s="18" t="s">
        <v>522</v>
      </c>
      <c r="F264" s="18">
        <v>125.1</v>
      </c>
      <c r="G264" s="18">
        <v>2000</v>
      </c>
      <c r="H264" s="18">
        <v>16</v>
      </c>
      <c r="I264" s="18">
        <v>2200</v>
      </c>
      <c r="J264" s="8">
        <f t="shared" si="8"/>
        <v>34200</v>
      </c>
      <c r="K264" s="27">
        <f t="shared" si="7"/>
        <v>1.278976818545164E-2</v>
      </c>
      <c r="L264" s="18">
        <v>1.6</v>
      </c>
      <c r="M264" s="18"/>
      <c r="N264" s="18"/>
      <c r="O264" s="18"/>
      <c r="P264" s="18"/>
    </row>
    <row r="265" spans="1:16" x14ac:dyDescent="0.2">
      <c r="A265" s="23">
        <v>46045</v>
      </c>
      <c r="B265" s="1" t="s">
        <v>54</v>
      </c>
      <c r="C265" s="18" t="s">
        <v>20</v>
      </c>
      <c r="D265" s="18">
        <v>3519</v>
      </c>
      <c r="E265" s="18" t="s">
        <v>523</v>
      </c>
      <c r="F265" s="18">
        <v>499.5</v>
      </c>
      <c r="G265" s="18">
        <v>800</v>
      </c>
      <c r="H265" s="18">
        <v>45</v>
      </c>
      <c r="I265" s="18">
        <v>470</v>
      </c>
      <c r="J265" s="8">
        <f t="shared" si="8"/>
        <v>36470</v>
      </c>
      <c r="K265" s="27">
        <f t="shared" si="7"/>
        <v>0</v>
      </c>
      <c r="L265" s="18"/>
      <c r="M265" s="18"/>
      <c r="N265" s="18"/>
      <c r="O265" s="18"/>
      <c r="P265" s="18"/>
    </row>
    <row r="266" spans="1:16" x14ac:dyDescent="0.2">
      <c r="A266" s="23">
        <v>46045</v>
      </c>
      <c r="B266" s="1" t="s">
        <v>54</v>
      </c>
      <c r="C266" s="18" t="s">
        <v>33</v>
      </c>
      <c r="D266" s="18">
        <v>3401</v>
      </c>
      <c r="E266" s="18" t="s">
        <v>524</v>
      </c>
      <c r="F266" s="18">
        <v>181.4</v>
      </c>
      <c r="G266" s="18">
        <v>400</v>
      </c>
      <c r="H266" s="18">
        <v>18</v>
      </c>
      <c r="I266" s="18">
        <v>170</v>
      </c>
      <c r="J266" s="8">
        <f t="shared" si="8"/>
        <v>7370</v>
      </c>
      <c r="K266" s="27">
        <f t="shared" si="7"/>
        <v>1.2812690665039659E-2</v>
      </c>
      <c r="L266" s="18">
        <v>2.1</v>
      </c>
      <c r="M266" s="18">
        <v>4.5</v>
      </c>
      <c r="N266" s="18"/>
      <c r="O266" s="18">
        <v>17.5</v>
      </c>
      <c r="P266" s="18"/>
    </row>
    <row r="267" spans="1:16" x14ac:dyDescent="0.2">
      <c r="A267" s="23">
        <v>46045</v>
      </c>
      <c r="B267" s="1" t="s">
        <v>54</v>
      </c>
      <c r="C267" s="18" t="s">
        <v>33</v>
      </c>
      <c r="D267" s="18">
        <v>3431</v>
      </c>
      <c r="E267" s="18" t="s">
        <v>525</v>
      </c>
      <c r="F267" s="18">
        <v>152.4</v>
      </c>
      <c r="G267" s="18">
        <v>500</v>
      </c>
      <c r="H267" s="18">
        <v>14</v>
      </c>
      <c r="I267" s="18"/>
      <c r="J267" s="8">
        <f t="shared" si="8"/>
        <v>7000</v>
      </c>
      <c r="K267" s="27">
        <f t="shared" si="7"/>
        <v>3.6764705882352942E-2</v>
      </c>
      <c r="L267" s="18">
        <v>5</v>
      </c>
      <c r="M267" s="18">
        <v>5</v>
      </c>
      <c r="N267" s="18"/>
      <c r="O267" s="18">
        <v>16.399999999999999</v>
      </c>
      <c r="P267" s="18"/>
    </row>
    <row r="268" spans="1:16" x14ac:dyDescent="0.2">
      <c r="A268" s="23">
        <v>46045</v>
      </c>
      <c r="B268" s="1" t="s">
        <v>54</v>
      </c>
      <c r="C268" s="18" t="s">
        <v>33</v>
      </c>
      <c r="D268" s="18">
        <v>3405</v>
      </c>
      <c r="E268" s="18" t="s">
        <v>526</v>
      </c>
      <c r="F268" s="18">
        <v>237.1</v>
      </c>
      <c r="G268" s="18">
        <v>300</v>
      </c>
      <c r="H268" s="18">
        <v>14</v>
      </c>
      <c r="I268" s="18"/>
      <c r="J268" s="8">
        <f t="shared" si="8"/>
        <v>4200</v>
      </c>
      <c r="K268" s="27">
        <f t="shared" si="7"/>
        <v>2.2593764121102578E-2</v>
      </c>
      <c r="L268" s="18">
        <v>5</v>
      </c>
      <c r="M268" s="18">
        <v>5.7</v>
      </c>
      <c r="N268" s="18"/>
      <c r="O268" s="18">
        <v>15.8</v>
      </c>
      <c r="P268" s="18"/>
    </row>
    <row r="269" spans="1:16" x14ac:dyDescent="0.2">
      <c r="A269" s="23">
        <v>46045</v>
      </c>
      <c r="B269" s="1" t="s">
        <v>54</v>
      </c>
      <c r="C269" s="18" t="s">
        <v>33</v>
      </c>
      <c r="D269" s="18">
        <v>3466</v>
      </c>
      <c r="E269" s="18" t="s">
        <v>518</v>
      </c>
      <c r="F269" s="18">
        <v>504.3</v>
      </c>
      <c r="G269" s="18">
        <v>500</v>
      </c>
      <c r="H269" s="18">
        <v>46</v>
      </c>
      <c r="I269" s="18">
        <v>400</v>
      </c>
      <c r="J269" s="8">
        <f t="shared" si="8"/>
        <v>23400</v>
      </c>
      <c r="K269" s="27">
        <f t="shared" si="7"/>
        <v>9.423624808240192E-3</v>
      </c>
      <c r="L269" s="18">
        <v>4.3</v>
      </c>
      <c r="M269" s="18">
        <v>9.9</v>
      </c>
      <c r="N269" s="18">
        <v>9.9</v>
      </c>
      <c r="O269" s="18">
        <v>48</v>
      </c>
      <c r="P269" s="18"/>
    </row>
    <row r="270" spans="1:16" x14ac:dyDescent="0.2">
      <c r="A270" s="23">
        <v>46045</v>
      </c>
      <c r="B270" s="1" t="s">
        <v>54</v>
      </c>
      <c r="C270" s="18" t="s">
        <v>24</v>
      </c>
      <c r="D270" s="18">
        <v>3574</v>
      </c>
      <c r="E270" s="18" t="s">
        <v>78</v>
      </c>
      <c r="F270" s="18">
        <v>284.39999999999998</v>
      </c>
      <c r="G270" s="18">
        <v>1400</v>
      </c>
      <c r="H270" s="18">
        <v>37</v>
      </c>
      <c r="I270" s="18"/>
      <c r="J270" s="8">
        <f t="shared" si="8"/>
        <v>51800</v>
      </c>
      <c r="K270" s="27">
        <f t="shared" si="7"/>
        <v>5.6258790436005636E-3</v>
      </c>
      <c r="L270" s="18">
        <v>1.6</v>
      </c>
      <c r="M270" s="18"/>
      <c r="N270" s="18"/>
      <c r="O270" s="18"/>
      <c r="P270" s="18"/>
    </row>
    <row r="271" spans="1:16" x14ac:dyDescent="0.2">
      <c r="A271" s="23">
        <v>46045</v>
      </c>
      <c r="B271" s="1" t="s">
        <v>54</v>
      </c>
      <c r="C271" s="18" t="s">
        <v>27</v>
      </c>
      <c r="D271" s="18">
        <v>2969</v>
      </c>
      <c r="E271" s="18" t="s">
        <v>482</v>
      </c>
      <c r="F271" s="18">
        <v>50</v>
      </c>
      <c r="G271" s="18">
        <v>2000</v>
      </c>
      <c r="H271" s="18">
        <v>5</v>
      </c>
      <c r="I271" s="18"/>
      <c r="J271" s="8">
        <f t="shared" si="8"/>
        <v>10000</v>
      </c>
      <c r="K271" s="27">
        <f t="shared" si="7"/>
        <v>0.05</v>
      </c>
      <c r="L271" s="18">
        <v>2.5</v>
      </c>
      <c r="M271" s="18"/>
      <c r="N271" s="18"/>
      <c r="O271" s="18"/>
      <c r="P271" s="18"/>
    </row>
    <row r="272" spans="1:16" x14ac:dyDescent="0.2">
      <c r="A272" s="23">
        <v>46045</v>
      </c>
      <c r="B272" s="1" t="s">
        <v>54</v>
      </c>
      <c r="C272" s="18" t="s">
        <v>20</v>
      </c>
      <c r="D272" s="18">
        <v>3500</v>
      </c>
      <c r="E272" s="18" t="s">
        <v>527</v>
      </c>
      <c r="F272" s="18">
        <v>104.3</v>
      </c>
      <c r="G272" s="18">
        <v>800</v>
      </c>
      <c r="H272" s="18">
        <v>6</v>
      </c>
      <c r="I272" s="18"/>
      <c r="J272" s="8">
        <f t="shared" si="8"/>
        <v>4800</v>
      </c>
      <c r="K272" s="27">
        <f t="shared" si="7"/>
        <v>7.6701821668264626E-3</v>
      </c>
      <c r="L272" s="18">
        <v>0.8</v>
      </c>
      <c r="M272" s="18"/>
      <c r="N272" s="18"/>
      <c r="O272" s="18"/>
      <c r="P272" s="18"/>
    </row>
    <row r="273" spans="1:16" x14ac:dyDescent="0.2">
      <c r="A273" s="23">
        <v>46045</v>
      </c>
      <c r="B273" s="1" t="s">
        <v>54</v>
      </c>
      <c r="C273" s="18" t="s">
        <v>33</v>
      </c>
      <c r="D273" s="18">
        <v>3421</v>
      </c>
      <c r="E273" s="18" t="s">
        <v>528</v>
      </c>
      <c r="F273" s="18">
        <v>90.7</v>
      </c>
      <c r="G273" s="18">
        <v>500</v>
      </c>
      <c r="H273" s="18">
        <v>12</v>
      </c>
      <c r="I273" s="18"/>
      <c r="J273" s="8">
        <f t="shared" si="8"/>
        <v>6000</v>
      </c>
      <c r="K273" s="27">
        <f t="shared" si="7"/>
        <v>3.5365853658536582E-2</v>
      </c>
      <c r="L273" s="18">
        <v>2.9</v>
      </c>
      <c r="M273" s="18">
        <v>2.1</v>
      </c>
      <c r="N273" s="18"/>
      <c r="O273" s="18">
        <v>8.6999999999999993</v>
      </c>
      <c r="P273" s="18"/>
    </row>
    <row r="274" spans="1:16" x14ac:dyDescent="0.2">
      <c r="A274" s="23">
        <v>46045</v>
      </c>
      <c r="B274" s="1" t="s">
        <v>54</v>
      </c>
      <c r="C274" s="18" t="s">
        <v>15</v>
      </c>
      <c r="D274" s="18">
        <v>3446</v>
      </c>
      <c r="E274" s="18" t="s">
        <v>106</v>
      </c>
      <c r="F274" s="18">
        <v>569.4</v>
      </c>
      <c r="G274" s="18">
        <v>300</v>
      </c>
      <c r="H274" s="18">
        <v>18</v>
      </c>
      <c r="I274" s="18"/>
      <c r="J274" s="8">
        <f t="shared" si="8"/>
        <v>5400</v>
      </c>
      <c r="K274" s="27">
        <f t="shared" si="7"/>
        <v>2.1777309448542326E-2</v>
      </c>
      <c r="L274" s="18">
        <v>12.4</v>
      </c>
      <c r="M274" s="18"/>
      <c r="N274" s="18"/>
      <c r="O274" s="18"/>
      <c r="P274" s="18"/>
    </row>
    <row r="275" spans="1:16" x14ac:dyDescent="0.2">
      <c r="A275" s="23">
        <v>46046</v>
      </c>
      <c r="B275" s="18" t="s">
        <v>14</v>
      </c>
      <c r="C275" s="18" t="s">
        <v>15</v>
      </c>
      <c r="D275" s="18">
        <v>3446</v>
      </c>
      <c r="E275" s="18" t="s">
        <v>106</v>
      </c>
      <c r="F275" s="18">
        <v>913.9</v>
      </c>
      <c r="G275" s="18">
        <v>300</v>
      </c>
      <c r="H275" s="18">
        <v>43</v>
      </c>
      <c r="I275" s="18">
        <v>200</v>
      </c>
      <c r="J275" s="8">
        <f t="shared" si="8"/>
        <v>13100</v>
      </c>
      <c r="K275" s="27">
        <f t="shared" si="7"/>
        <v>9.9573257467994308E-3</v>
      </c>
      <c r="L275" s="18">
        <v>9.1</v>
      </c>
      <c r="M275" s="18"/>
      <c r="N275" s="18"/>
      <c r="O275" s="18"/>
      <c r="P275" s="18"/>
    </row>
    <row r="276" spans="1:16" x14ac:dyDescent="0.2">
      <c r="A276" s="23">
        <v>46046</v>
      </c>
      <c r="B276" s="18" t="s">
        <v>14</v>
      </c>
      <c r="C276" s="18" t="s">
        <v>15</v>
      </c>
      <c r="D276" s="18">
        <v>3443</v>
      </c>
      <c r="E276" s="18" t="s">
        <v>211</v>
      </c>
      <c r="F276" s="18">
        <v>447.5</v>
      </c>
      <c r="G276" s="18">
        <v>500</v>
      </c>
      <c r="H276" s="18">
        <v>19</v>
      </c>
      <c r="I276" s="18">
        <v>200</v>
      </c>
      <c r="J276" s="8">
        <f t="shared" si="8"/>
        <v>9700</v>
      </c>
      <c r="K276" s="27">
        <f t="shared" si="7"/>
        <v>5.5865921787709499E-3</v>
      </c>
      <c r="L276" s="18">
        <v>2.5</v>
      </c>
      <c r="M276" s="18"/>
      <c r="N276" s="18"/>
      <c r="O276" s="18"/>
      <c r="P276" s="18"/>
    </row>
    <row r="277" spans="1:16" x14ac:dyDescent="0.2">
      <c r="A277" s="23">
        <v>46046</v>
      </c>
      <c r="B277" s="18" t="s">
        <v>14</v>
      </c>
      <c r="C277" s="18" t="s">
        <v>15</v>
      </c>
      <c r="D277" s="18">
        <v>3321</v>
      </c>
      <c r="E277" s="18" t="s">
        <v>529</v>
      </c>
      <c r="F277" s="18">
        <v>242.2</v>
      </c>
      <c r="G277" s="18">
        <v>500</v>
      </c>
      <c r="H277" s="18">
        <v>16</v>
      </c>
      <c r="I277" s="18"/>
      <c r="J277" s="8">
        <f t="shared" si="8"/>
        <v>8000</v>
      </c>
      <c r="K277" s="27">
        <f t="shared" si="7"/>
        <v>2.5185796862097438E-2</v>
      </c>
      <c r="L277" s="18">
        <v>6.1</v>
      </c>
      <c r="M277" s="18">
        <v>14.6</v>
      </c>
      <c r="N277" s="18"/>
      <c r="O277" s="18"/>
      <c r="P277" s="18"/>
    </row>
    <row r="278" spans="1:16" x14ac:dyDescent="0.2">
      <c r="A278" s="23">
        <v>46046</v>
      </c>
      <c r="B278" s="18" t="s">
        <v>14</v>
      </c>
      <c r="C278" s="18" t="s">
        <v>20</v>
      </c>
      <c r="D278" s="18">
        <v>3500</v>
      </c>
      <c r="E278" s="18" t="s">
        <v>527</v>
      </c>
      <c r="F278" s="18">
        <v>243.8</v>
      </c>
      <c r="G278" s="18">
        <v>800</v>
      </c>
      <c r="H278" s="18">
        <v>24</v>
      </c>
      <c r="I278" s="18"/>
      <c r="J278" s="8">
        <f t="shared" si="8"/>
        <v>19200</v>
      </c>
      <c r="K278" s="27">
        <f t="shared" si="7"/>
        <v>6.5627563576702219E-3</v>
      </c>
      <c r="L278" s="18">
        <v>1.6</v>
      </c>
      <c r="M278" s="18"/>
      <c r="N278" s="18"/>
      <c r="O278" s="18"/>
      <c r="P278" s="18"/>
    </row>
    <row r="279" spans="1:16" x14ac:dyDescent="0.2">
      <c r="A279" s="23">
        <v>46046</v>
      </c>
      <c r="B279" s="18" t="s">
        <v>14</v>
      </c>
      <c r="C279" s="18" t="s">
        <v>20</v>
      </c>
      <c r="D279" s="18">
        <v>3447</v>
      </c>
      <c r="E279" s="18" t="s">
        <v>198</v>
      </c>
      <c r="F279" s="18">
        <v>523.29999999999995</v>
      </c>
      <c r="G279" s="18">
        <v>1000</v>
      </c>
      <c r="H279" s="18">
        <v>63</v>
      </c>
      <c r="I279" s="18">
        <v>300</v>
      </c>
      <c r="J279" s="8">
        <f t="shared" si="8"/>
        <v>63300</v>
      </c>
      <c r="K279" s="27">
        <f t="shared" si="7"/>
        <v>4.2040894324479276E-3</v>
      </c>
      <c r="L279" s="18">
        <v>2.2000000000000002</v>
      </c>
      <c r="M279" s="18"/>
      <c r="N279" s="18"/>
      <c r="O279" s="18"/>
      <c r="P279" s="18" t="s">
        <v>530</v>
      </c>
    </row>
    <row r="280" spans="1:16" x14ac:dyDescent="0.2">
      <c r="A280" s="23">
        <v>46046</v>
      </c>
      <c r="B280" s="18" t="s">
        <v>14</v>
      </c>
      <c r="C280" s="18" t="s">
        <v>20</v>
      </c>
      <c r="D280" s="18">
        <v>3441</v>
      </c>
      <c r="E280" s="18" t="s">
        <v>531</v>
      </c>
      <c r="F280" s="18">
        <v>80.3</v>
      </c>
      <c r="G280" s="18">
        <v>2000</v>
      </c>
      <c r="H280" s="18">
        <v>15</v>
      </c>
      <c r="I280" s="18"/>
      <c r="J280" s="8">
        <f t="shared" si="8"/>
        <v>30000</v>
      </c>
      <c r="K280" s="27">
        <f t="shared" si="7"/>
        <v>2.4906600249066005E-2</v>
      </c>
      <c r="L280" s="18">
        <v>2</v>
      </c>
      <c r="M280" s="18"/>
      <c r="N280" s="18"/>
      <c r="O280" s="18"/>
      <c r="P280" s="18"/>
    </row>
    <row r="281" spans="1:16" x14ac:dyDescent="0.2">
      <c r="A281" s="23">
        <v>46046</v>
      </c>
      <c r="B281" s="18" t="s">
        <v>14</v>
      </c>
      <c r="C281" s="18" t="s">
        <v>24</v>
      </c>
      <c r="D281" s="18">
        <v>3574</v>
      </c>
      <c r="E281" s="18" t="s">
        <v>78</v>
      </c>
      <c r="F281" s="18">
        <v>312.8</v>
      </c>
      <c r="G281" s="18">
        <v>1400</v>
      </c>
      <c r="H281" s="18">
        <v>32</v>
      </c>
      <c r="I281" s="18">
        <v>1200</v>
      </c>
      <c r="J281" s="8">
        <f t="shared" si="8"/>
        <v>46000</v>
      </c>
      <c r="K281" s="27">
        <f t="shared" si="7"/>
        <v>2.237851662404092E-3</v>
      </c>
      <c r="L281" s="18">
        <v>0.7</v>
      </c>
      <c r="M281" s="18"/>
      <c r="N281" s="18"/>
      <c r="O281" s="18"/>
      <c r="P281" s="18"/>
    </row>
    <row r="282" spans="1:16" x14ac:dyDescent="0.2">
      <c r="A282" s="23">
        <v>46046</v>
      </c>
      <c r="B282" s="18" t="s">
        <v>14</v>
      </c>
      <c r="C282" s="18" t="s">
        <v>24</v>
      </c>
      <c r="D282" s="18">
        <v>3517</v>
      </c>
      <c r="E282" s="18" t="s">
        <v>49</v>
      </c>
      <c r="F282" s="18">
        <v>52.8</v>
      </c>
      <c r="G282" s="18">
        <v>4000</v>
      </c>
      <c r="H282" s="18">
        <v>10</v>
      </c>
      <c r="I282" s="18"/>
      <c r="J282" s="8">
        <f t="shared" si="8"/>
        <v>40000</v>
      </c>
      <c r="K282" s="27">
        <f t="shared" si="7"/>
        <v>1.5151515151515154E-2</v>
      </c>
      <c r="L282" s="18">
        <v>0.8</v>
      </c>
      <c r="M282" s="18"/>
      <c r="N282" s="18"/>
      <c r="O282" s="18"/>
      <c r="P282" s="18"/>
    </row>
    <row r="283" spans="1:16" x14ac:dyDescent="0.2">
      <c r="A283" s="23">
        <v>46046</v>
      </c>
      <c r="B283" s="18" t="s">
        <v>14</v>
      </c>
      <c r="C283" s="18" t="s">
        <v>27</v>
      </c>
      <c r="D283" s="18">
        <v>2969</v>
      </c>
      <c r="E283" s="18" t="s">
        <v>482</v>
      </c>
      <c r="F283" s="18"/>
      <c r="G283" s="18">
        <v>2000</v>
      </c>
      <c r="H283" s="18">
        <v>1</v>
      </c>
      <c r="I283" s="18">
        <v>1200</v>
      </c>
      <c r="J283" s="8">
        <f t="shared" si="8"/>
        <v>3200</v>
      </c>
      <c r="K283" s="27">
        <f t="shared" si="7"/>
        <v>0</v>
      </c>
      <c r="L283" s="18">
        <v>2.2999999999999998</v>
      </c>
      <c r="M283" s="18"/>
      <c r="N283" s="18"/>
      <c r="O283" s="18"/>
      <c r="P283" s="18"/>
    </row>
    <row r="284" spans="1:16" x14ac:dyDescent="0.2">
      <c r="A284" s="23">
        <v>46046</v>
      </c>
      <c r="B284" s="18" t="s">
        <v>14</v>
      </c>
      <c r="C284" s="18" t="s">
        <v>27</v>
      </c>
      <c r="D284" s="18">
        <v>3393</v>
      </c>
      <c r="E284" s="18" t="s">
        <v>532</v>
      </c>
      <c r="F284" s="18">
        <v>91.2</v>
      </c>
      <c r="G284" s="18">
        <v>500</v>
      </c>
      <c r="H284" s="18">
        <v>8</v>
      </c>
      <c r="I284" s="18">
        <v>450</v>
      </c>
      <c r="J284" s="8">
        <f t="shared" si="8"/>
        <v>4450</v>
      </c>
      <c r="K284" s="27">
        <f t="shared" si="7"/>
        <v>0.13596491228070176</v>
      </c>
      <c r="L284" s="18">
        <v>12.4</v>
      </c>
      <c r="M284" s="18"/>
      <c r="N284" s="18"/>
      <c r="O284" s="18"/>
      <c r="P284" s="18"/>
    </row>
    <row r="285" spans="1:16" x14ac:dyDescent="0.2">
      <c r="A285" s="23">
        <v>46046</v>
      </c>
      <c r="B285" s="18" t="s">
        <v>14</v>
      </c>
      <c r="C285" s="18" t="s">
        <v>27</v>
      </c>
      <c r="D285" s="18">
        <v>3359</v>
      </c>
      <c r="E285" s="18" t="s">
        <v>222</v>
      </c>
      <c r="F285" s="18">
        <v>132.80000000000001</v>
      </c>
      <c r="G285" s="18">
        <v>500</v>
      </c>
      <c r="H285" s="18">
        <v>10</v>
      </c>
      <c r="I285" s="18">
        <v>450</v>
      </c>
      <c r="J285" s="8">
        <f t="shared" si="8"/>
        <v>5450</v>
      </c>
      <c r="K285" s="27">
        <f t="shared" si="7"/>
        <v>8.8871715610510049E-2</v>
      </c>
      <c r="L285" s="18">
        <v>11.5</v>
      </c>
      <c r="M285" s="18">
        <v>2.6</v>
      </c>
      <c r="N285" s="18">
        <v>5.5</v>
      </c>
      <c r="O285" s="18">
        <v>3.4</v>
      </c>
      <c r="P285" s="18"/>
    </row>
    <row r="286" spans="1:16" x14ac:dyDescent="0.2">
      <c r="A286" s="23">
        <v>46046</v>
      </c>
      <c r="B286" s="18" t="s">
        <v>14</v>
      </c>
      <c r="C286" s="18" t="s">
        <v>27</v>
      </c>
      <c r="D286" s="18">
        <v>3314</v>
      </c>
      <c r="E286" s="18" t="s">
        <v>533</v>
      </c>
      <c r="F286" s="18">
        <v>103</v>
      </c>
      <c r="G286" s="18">
        <v>1000</v>
      </c>
      <c r="H286" s="18">
        <v>17</v>
      </c>
      <c r="I286" s="18">
        <v>400</v>
      </c>
      <c r="J286" s="8">
        <f t="shared" si="8"/>
        <v>17400</v>
      </c>
      <c r="K286" s="27">
        <f t="shared" si="7"/>
        <v>2.1696252465483234E-2</v>
      </c>
      <c r="L286" s="18">
        <v>2.2000000000000002</v>
      </c>
      <c r="M286" s="18"/>
      <c r="N286" s="18"/>
      <c r="O286" s="18">
        <v>1.6</v>
      </c>
      <c r="P286" s="18"/>
    </row>
    <row r="287" spans="1:16" x14ac:dyDescent="0.2">
      <c r="A287" s="23">
        <v>46046</v>
      </c>
      <c r="B287" s="18" t="s">
        <v>14</v>
      </c>
      <c r="C287" s="18" t="s">
        <v>27</v>
      </c>
      <c r="D287" s="18">
        <v>3377</v>
      </c>
      <c r="E287" s="18" t="s">
        <v>220</v>
      </c>
      <c r="F287" s="18">
        <v>63.5</v>
      </c>
      <c r="G287" s="18">
        <v>3200</v>
      </c>
      <c r="H287" s="18">
        <v>3</v>
      </c>
      <c r="I287" s="18"/>
      <c r="J287" s="8">
        <f t="shared" si="8"/>
        <v>9600</v>
      </c>
      <c r="K287" s="27">
        <f t="shared" si="7"/>
        <v>0</v>
      </c>
      <c r="L287" s="18"/>
      <c r="M287" s="18"/>
      <c r="N287" s="18"/>
      <c r="O287" s="18"/>
      <c r="P287" s="18"/>
    </row>
    <row r="288" spans="1:16" x14ac:dyDescent="0.2">
      <c r="A288" s="23">
        <v>46046</v>
      </c>
      <c r="B288" s="18" t="s">
        <v>14</v>
      </c>
      <c r="C288" s="18" t="s">
        <v>33</v>
      </c>
      <c r="D288" s="18">
        <v>3421</v>
      </c>
      <c r="E288" s="18" t="s">
        <v>528</v>
      </c>
      <c r="F288" s="18">
        <v>236.5</v>
      </c>
      <c r="G288" s="18">
        <v>500</v>
      </c>
      <c r="H288" s="18">
        <v>42</v>
      </c>
      <c r="I288" s="18"/>
      <c r="J288" s="8">
        <f t="shared" si="8"/>
        <v>21000</v>
      </c>
      <c r="K288" s="27">
        <f t="shared" si="7"/>
        <v>1.8673218673218674E-2</v>
      </c>
      <c r="L288" s="18">
        <v>3.8</v>
      </c>
      <c r="M288" s="18">
        <v>3.6</v>
      </c>
      <c r="N288" s="18"/>
      <c r="O288" s="18">
        <v>33</v>
      </c>
      <c r="P288" s="18"/>
    </row>
    <row r="289" spans="1:16" x14ac:dyDescent="0.2">
      <c r="A289" s="23">
        <v>46046</v>
      </c>
      <c r="B289" s="18" t="s">
        <v>14</v>
      </c>
      <c r="C289" s="18" t="s">
        <v>33</v>
      </c>
      <c r="D289" s="18">
        <v>3367</v>
      </c>
      <c r="E289" s="18" t="s">
        <v>534</v>
      </c>
      <c r="F289" s="18">
        <v>193</v>
      </c>
      <c r="G289" s="18">
        <v>500</v>
      </c>
      <c r="H289" s="18">
        <v>12</v>
      </c>
      <c r="I289" s="18"/>
      <c r="J289" s="8">
        <f t="shared" si="8"/>
        <v>6000</v>
      </c>
      <c r="K289" s="27">
        <f t="shared" si="7"/>
        <v>1.7543859649122806E-2</v>
      </c>
      <c r="L289" s="18">
        <v>3</v>
      </c>
      <c r="M289" s="18">
        <v>4.5999999999999996</v>
      </c>
      <c r="N289" s="18"/>
      <c r="O289" s="18">
        <v>22</v>
      </c>
      <c r="P289" s="18"/>
    </row>
    <row r="290" spans="1:16" x14ac:dyDescent="0.2">
      <c r="A290" s="23">
        <v>46046</v>
      </c>
      <c r="B290" s="18" t="s">
        <v>14</v>
      </c>
      <c r="C290" s="18" t="s">
        <v>33</v>
      </c>
      <c r="D290" s="18">
        <v>3313</v>
      </c>
      <c r="E290" s="18" t="s">
        <v>535</v>
      </c>
      <c r="F290" s="18">
        <v>418.3</v>
      </c>
      <c r="G290" s="18">
        <v>1000</v>
      </c>
      <c r="H290" s="18">
        <v>35</v>
      </c>
      <c r="I290" s="18"/>
      <c r="J290" s="8">
        <f t="shared" si="8"/>
        <v>35000</v>
      </c>
      <c r="K290" s="27">
        <f t="shared" si="7"/>
        <v>2.736726874657909E-2</v>
      </c>
      <c r="L290" s="18">
        <v>10</v>
      </c>
      <c r="M290" s="18"/>
      <c r="N290" s="18"/>
      <c r="O290" s="18">
        <v>52.9</v>
      </c>
      <c r="P290" s="18"/>
    </row>
    <row r="291" spans="1:16" x14ac:dyDescent="0.2">
      <c r="A291" s="23">
        <v>46047</v>
      </c>
      <c r="B291" s="18" t="s">
        <v>40</v>
      </c>
      <c r="C291" s="18" t="s">
        <v>15</v>
      </c>
      <c r="D291" s="18">
        <v>3321</v>
      </c>
      <c r="E291" s="18" t="s">
        <v>529</v>
      </c>
      <c r="F291" s="18">
        <v>67.8</v>
      </c>
      <c r="G291" s="18">
        <v>500</v>
      </c>
      <c r="H291" s="18">
        <v>3</v>
      </c>
      <c r="I291" s="18">
        <v>420</v>
      </c>
      <c r="J291" s="8">
        <f t="shared" si="8"/>
        <v>1920</v>
      </c>
      <c r="K291" s="27">
        <f t="shared" si="7"/>
        <v>2.3598820058997053E-2</v>
      </c>
      <c r="L291" s="18">
        <v>1.6</v>
      </c>
      <c r="M291" s="18"/>
      <c r="N291" s="18"/>
      <c r="O291" s="18"/>
      <c r="P291" s="18"/>
    </row>
    <row r="292" spans="1:16" x14ac:dyDescent="0.2">
      <c r="A292" s="23">
        <v>46047</v>
      </c>
      <c r="B292" s="18" t="s">
        <v>40</v>
      </c>
      <c r="C292" s="18" t="s">
        <v>15</v>
      </c>
      <c r="D292" s="18">
        <v>3445</v>
      </c>
      <c r="E292" s="18" t="s">
        <v>536</v>
      </c>
      <c r="F292" s="18">
        <v>70.2</v>
      </c>
      <c r="G292" s="18">
        <v>250</v>
      </c>
      <c r="H292" s="18">
        <v>5</v>
      </c>
      <c r="I292" s="18"/>
      <c r="J292" s="8">
        <f t="shared" si="8"/>
        <v>1250</v>
      </c>
      <c r="K292" s="27">
        <f t="shared" ref="K292:K355" si="9">IFERROR(L292/(F292-O292)*100%,0)</f>
        <v>8.5470085470085461E-3</v>
      </c>
      <c r="L292" s="18">
        <v>0.6</v>
      </c>
      <c r="M292" s="18"/>
      <c r="N292" s="18"/>
      <c r="O292" s="18"/>
      <c r="P292" s="18"/>
    </row>
    <row r="293" spans="1:16" x14ac:dyDescent="0.2">
      <c r="A293" s="23">
        <v>46047</v>
      </c>
      <c r="B293" s="18" t="s">
        <v>40</v>
      </c>
      <c r="C293" s="18" t="s">
        <v>15</v>
      </c>
      <c r="D293" s="18">
        <v>3550</v>
      </c>
      <c r="E293" s="18" t="s">
        <v>537</v>
      </c>
      <c r="F293" s="18">
        <v>355.5</v>
      </c>
      <c r="G293" s="18">
        <v>1000</v>
      </c>
      <c r="H293" s="18">
        <v>28</v>
      </c>
      <c r="I293" s="18">
        <v>430</v>
      </c>
      <c r="J293" s="8">
        <f t="shared" si="8"/>
        <v>28430</v>
      </c>
      <c r="K293" s="27">
        <f t="shared" si="9"/>
        <v>1.1814345991561183E-2</v>
      </c>
      <c r="L293" s="18">
        <v>4.2</v>
      </c>
      <c r="M293" s="18"/>
      <c r="N293" s="18"/>
      <c r="O293" s="18"/>
      <c r="P293" s="18"/>
    </row>
    <row r="294" spans="1:16" x14ac:dyDescent="0.2">
      <c r="A294" s="23">
        <v>46047</v>
      </c>
      <c r="B294" s="18" t="s">
        <v>40</v>
      </c>
      <c r="C294" s="18" t="s">
        <v>15</v>
      </c>
      <c r="D294" s="18">
        <v>3459</v>
      </c>
      <c r="E294" s="18" t="s">
        <v>538</v>
      </c>
      <c r="F294" s="18">
        <v>217.7</v>
      </c>
      <c r="G294" s="18">
        <v>500</v>
      </c>
      <c r="H294" s="18">
        <v>21</v>
      </c>
      <c r="I294" s="18">
        <v>200</v>
      </c>
      <c r="J294" s="8">
        <f t="shared" si="8"/>
        <v>10700</v>
      </c>
      <c r="K294" s="27">
        <f t="shared" si="9"/>
        <v>8.2682590721175932E-3</v>
      </c>
      <c r="L294" s="18">
        <v>1.8</v>
      </c>
      <c r="M294" s="18"/>
      <c r="N294" s="18"/>
      <c r="O294" s="18"/>
      <c r="P294" s="18"/>
    </row>
    <row r="295" spans="1:16" x14ac:dyDescent="0.2">
      <c r="A295" s="23">
        <v>46047</v>
      </c>
      <c r="B295" s="18" t="s">
        <v>40</v>
      </c>
      <c r="C295" s="18" t="s">
        <v>15</v>
      </c>
      <c r="D295" s="18">
        <v>3544</v>
      </c>
      <c r="E295" s="18" t="s">
        <v>539</v>
      </c>
      <c r="F295" s="18">
        <v>443.1</v>
      </c>
      <c r="G295" s="18">
        <v>125</v>
      </c>
      <c r="H295" s="18">
        <v>44</v>
      </c>
      <c r="I295" s="18"/>
      <c r="J295" s="8">
        <f t="shared" si="8"/>
        <v>5500</v>
      </c>
      <c r="K295" s="27">
        <f t="shared" si="9"/>
        <v>2.098849018280298E-2</v>
      </c>
      <c r="L295" s="18">
        <v>9.3000000000000007</v>
      </c>
      <c r="M295" s="18"/>
      <c r="N295" s="18"/>
      <c r="O295" s="18"/>
      <c r="P295" s="18"/>
    </row>
    <row r="296" spans="1:16" x14ac:dyDescent="0.2">
      <c r="A296" s="23">
        <v>46047</v>
      </c>
      <c r="B296" s="18" t="s">
        <v>40</v>
      </c>
      <c r="C296" s="18" t="s">
        <v>20</v>
      </c>
      <c r="D296" s="18">
        <v>3441</v>
      </c>
      <c r="E296" s="18" t="s">
        <v>531</v>
      </c>
      <c r="F296" s="18">
        <v>85.9</v>
      </c>
      <c r="G296" s="18">
        <v>2000</v>
      </c>
      <c r="H296" s="18">
        <v>9</v>
      </c>
      <c r="I296" s="18">
        <v>1200</v>
      </c>
      <c r="J296" s="8">
        <f t="shared" si="8"/>
        <v>19200</v>
      </c>
      <c r="K296" s="27">
        <f t="shared" si="9"/>
        <v>5.8207217694994174E-3</v>
      </c>
      <c r="L296" s="18">
        <v>0.5</v>
      </c>
      <c r="M296" s="18"/>
      <c r="N296" s="18"/>
      <c r="O296" s="18"/>
      <c r="P296" s="18"/>
    </row>
    <row r="297" spans="1:16" x14ac:dyDescent="0.2">
      <c r="A297" s="23">
        <v>46047</v>
      </c>
      <c r="B297" s="18" t="s">
        <v>40</v>
      </c>
      <c r="C297" s="18" t="s">
        <v>20</v>
      </c>
      <c r="D297" s="18">
        <v>3558</v>
      </c>
      <c r="E297" s="18" t="s">
        <v>540</v>
      </c>
      <c r="F297" s="18">
        <v>600.5</v>
      </c>
      <c r="G297" s="18">
        <v>500</v>
      </c>
      <c r="H297" s="18">
        <v>34</v>
      </c>
      <c r="I297" s="18">
        <v>90</v>
      </c>
      <c r="J297" s="8">
        <f t="shared" si="8"/>
        <v>17090</v>
      </c>
      <c r="K297" s="27">
        <f t="shared" si="9"/>
        <v>9.6586178184845956E-3</v>
      </c>
      <c r="L297" s="18">
        <v>5.8</v>
      </c>
      <c r="M297" s="18"/>
      <c r="N297" s="18"/>
      <c r="O297" s="18"/>
      <c r="P297" s="18"/>
    </row>
    <row r="298" spans="1:16" x14ac:dyDescent="0.2">
      <c r="A298" s="23">
        <v>46047</v>
      </c>
      <c r="B298" s="18" t="s">
        <v>40</v>
      </c>
      <c r="C298" s="18" t="s">
        <v>20</v>
      </c>
      <c r="D298" s="18">
        <v>3562</v>
      </c>
      <c r="E298" s="18" t="s">
        <v>499</v>
      </c>
      <c r="F298" s="18">
        <v>614.79999999999995</v>
      </c>
      <c r="G298" s="18">
        <v>1200</v>
      </c>
      <c r="H298" s="18">
        <v>43</v>
      </c>
      <c r="I298" s="18">
        <v>435</v>
      </c>
      <c r="J298" s="8">
        <f t="shared" si="8"/>
        <v>52035</v>
      </c>
      <c r="K298" s="27">
        <f t="shared" si="9"/>
        <v>3.7410540013012362E-3</v>
      </c>
      <c r="L298" s="18">
        <v>2.2999999999999998</v>
      </c>
      <c r="M298" s="18"/>
      <c r="N298" s="18"/>
      <c r="O298" s="18"/>
      <c r="P298" s="18"/>
    </row>
    <row r="299" spans="1:16" x14ac:dyDescent="0.2">
      <c r="A299" s="23">
        <v>46047</v>
      </c>
      <c r="B299" s="18" t="s">
        <v>40</v>
      </c>
      <c r="C299" s="18" t="s">
        <v>27</v>
      </c>
      <c r="D299" s="18">
        <v>3377</v>
      </c>
      <c r="E299" s="18" t="s">
        <v>220</v>
      </c>
      <c r="F299" s="18">
        <v>154.69999999999999</v>
      </c>
      <c r="G299" s="18">
        <v>3200</v>
      </c>
      <c r="H299" s="18">
        <v>16</v>
      </c>
      <c r="I299" s="18">
        <v>3000</v>
      </c>
      <c r="J299" s="8">
        <f t="shared" si="8"/>
        <v>54200</v>
      </c>
      <c r="K299" s="27">
        <f t="shared" si="9"/>
        <v>3.2320620555914676E-3</v>
      </c>
      <c r="L299" s="18">
        <v>0.5</v>
      </c>
      <c r="M299" s="18"/>
      <c r="N299" s="18"/>
      <c r="O299" s="18"/>
      <c r="P299" s="18"/>
    </row>
    <row r="300" spans="1:16" x14ac:dyDescent="0.2">
      <c r="A300" s="23">
        <v>46047</v>
      </c>
      <c r="B300" s="18" t="s">
        <v>40</v>
      </c>
      <c r="C300" s="18" t="s">
        <v>27</v>
      </c>
      <c r="D300" s="18">
        <v>3186</v>
      </c>
      <c r="E300" s="18" t="s">
        <v>541</v>
      </c>
      <c r="F300" s="18">
        <v>390.2</v>
      </c>
      <c r="G300" s="18">
        <v>500</v>
      </c>
      <c r="H300" s="18">
        <v>37</v>
      </c>
      <c r="I300" s="18"/>
      <c r="J300" s="8">
        <f t="shared" si="8"/>
        <v>18500</v>
      </c>
      <c r="K300" s="27">
        <f t="shared" si="9"/>
        <v>1.0251153254741159E-2</v>
      </c>
      <c r="L300" s="18">
        <v>4</v>
      </c>
      <c r="M300" s="18">
        <v>4.2</v>
      </c>
      <c r="N300" s="18"/>
      <c r="O300" s="18"/>
      <c r="P300" s="18"/>
    </row>
    <row r="301" spans="1:16" x14ac:dyDescent="0.2">
      <c r="A301" s="23">
        <v>46047</v>
      </c>
      <c r="B301" s="18" t="s">
        <v>40</v>
      </c>
      <c r="C301" s="18" t="s">
        <v>24</v>
      </c>
      <c r="D301" s="18">
        <v>3517</v>
      </c>
      <c r="E301" s="18" t="s">
        <v>49</v>
      </c>
      <c r="F301" s="18">
        <v>174.6</v>
      </c>
      <c r="G301" s="18">
        <v>4000</v>
      </c>
      <c r="H301" s="18">
        <v>27</v>
      </c>
      <c r="I301" s="18"/>
      <c r="J301" s="24">
        <f t="shared" ref="J301:J332" si="10">G301*H301+I301</f>
        <v>108000</v>
      </c>
      <c r="K301" s="27">
        <f t="shared" si="9"/>
        <v>2.8636884306987402E-3</v>
      </c>
      <c r="L301" s="18">
        <v>0.5</v>
      </c>
      <c r="M301" s="18"/>
      <c r="N301" s="18"/>
      <c r="O301" s="18"/>
      <c r="P301" s="18"/>
    </row>
    <row r="302" spans="1:16" x14ac:dyDescent="0.2">
      <c r="A302" s="23">
        <v>46047</v>
      </c>
      <c r="B302" s="18" t="s">
        <v>40</v>
      </c>
      <c r="C302" s="18" t="s">
        <v>33</v>
      </c>
      <c r="D302" s="18">
        <v>3313</v>
      </c>
      <c r="E302" s="18" t="s">
        <v>535</v>
      </c>
      <c r="F302" s="18">
        <v>46.4</v>
      </c>
      <c r="G302" s="18">
        <v>1000</v>
      </c>
      <c r="H302" s="18">
        <v>5</v>
      </c>
      <c r="I302" s="18">
        <v>700</v>
      </c>
      <c r="J302" s="24">
        <f t="shared" si="10"/>
        <v>5700</v>
      </c>
      <c r="K302" s="27">
        <f t="shared" si="9"/>
        <v>4.7244094488188983E-2</v>
      </c>
      <c r="L302" s="18">
        <v>1.8</v>
      </c>
      <c r="M302" s="18"/>
      <c r="N302" s="18"/>
      <c r="O302" s="18">
        <v>8.3000000000000007</v>
      </c>
      <c r="P302" s="18"/>
    </row>
    <row r="303" spans="1:16" x14ac:dyDescent="0.2">
      <c r="A303" s="23">
        <v>46047</v>
      </c>
      <c r="B303" s="18" t="s">
        <v>40</v>
      </c>
      <c r="C303" s="18" t="s">
        <v>33</v>
      </c>
      <c r="D303" s="18">
        <v>3498</v>
      </c>
      <c r="E303" s="18" t="s">
        <v>542</v>
      </c>
      <c r="F303" s="18">
        <v>449.3</v>
      </c>
      <c r="G303" s="18">
        <v>500</v>
      </c>
      <c r="H303" s="18">
        <v>46</v>
      </c>
      <c r="I303" s="18">
        <v>350</v>
      </c>
      <c r="J303" s="24">
        <f t="shared" si="10"/>
        <v>23350</v>
      </c>
      <c r="K303" s="27">
        <f t="shared" si="9"/>
        <v>1.6056196688409432E-2</v>
      </c>
      <c r="L303" s="18">
        <v>6.4</v>
      </c>
      <c r="M303" s="18">
        <v>7.5</v>
      </c>
      <c r="N303" s="18"/>
      <c r="O303" s="18">
        <v>50.7</v>
      </c>
      <c r="P303" s="18"/>
    </row>
    <row r="304" spans="1:16" x14ac:dyDescent="0.2">
      <c r="A304" s="23">
        <v>46047</v>
      </c>
      <c r="B304" s="18" t="s">
        <v>40</v>
      </c>
      <c r="C304" s="18" t="s">
        <v>33</v>
      </c>
      <c r="D304" s="18">
        <v>3272</v>
      </c>
      <c r="E304" s="18" t="s">
        <v>323</v>
      </c>
      <c r="F304" s="18">
        <v>768.3</v>
      </c>
      <c r="G304" s="18">
        <v>500</v>
      </c>
      <c r="H304" s="18">
        <v>78</v>
      </c>
      <c r="I304" s="18"/>
      <c r="J304" s="24">
        <f t="shared" si="10"/>
        <v>39000</v>
      </c>
      <c r="K304" s="27">
        <f t="shared" si="9"/>
        <v>8.6502609992542868E-3</v>
      </c>
      <c r="L304" s="18">
        <v>5.8</v>
      </c>
      <c r="M304" s="18">
        <v>9.3000000000000007</v>
      </c>
      <c r="N304" s="18"/>
      <c r="O304" s="18">
        <v>97.8</v>
      </c>
      <c r="P304" s="18"/>
    </row>
    <row r="305" spans="1:16" x14ac:dyDescent="0.2">
      <c r="A305" s="23">
        <v>46047</v>
      </c>
      <c r="B305" s="18" t="s">
        <v>40</v>
      </c>
      <c r="C305" s="18" t="s">
        <v>15</v>
      </c>
      <c r="D305" s="18">
        <v>3545</v>
      </c>
      <c r="E305" s="18" t="s">
        <v>347</v>
      </c>
      <c r="F305" s="18">
        <v>148.4</v>
      </c>
      <c r="G305" s="18">
        <v>125</v>
      </c>
      <c r="H305" s="18">
        <v>12</v>
      </c>
      <c r="I305" s="18"/>
      <c r="J305" s="24">
        <f t="shared" si="10"/>
        <v>1500</v>
      </c>
      <c r="K305" s="27">
        <f t="shared" si="9"/>
        <v>8.0862533692722359E-3</v>
      </c>
      <c r="L305" s="18">
        <v>1.2</v>
      </c>
      <c r="M305" s="18"/>
      <c r="N305" s="18"/>
      <c r="O305" s="18"/>
      <c r="P305" s="18"/>
    </row>
    <row r="306" spans="1:16" x14ac:dyDescent="0.2">
      <c r="A306" s="23">
        <v>46048</v>
      </c>
      <c r="B306" s="18" t="s">
        <v>54</v>
      </c>
      <c r="C306" s="18" t="s">
        <v>15</v>
      </c>
      <c r="D306" s="18">
        <v>3545</v>
      </c>
      <c r="E306" s="18" t="s">
        <v>347</v>
      </c>
      <c r="F306" s="18">
        <v>893.3</v>
      </c>
      <c r="G306" s="18">
        <v>125</v>
      </c>
      <c r="H306" s="18">
        <v>73</v>
      </c>
      <c r="I306" s="18">
        <v>75</v>
      </c>
      <c r="J306" s="24">
        <f t="shared" si="10"/>
        <v>9200</v>
      </c>
      <c r="K306" s="27">
        <f t="shared" si="9"/>
        <v>5.2613903503862088E-2</v>
      </c>
      <c r="L306" s="18">
        <v>47</v>
      </c>
      <c r="M306" s="18"/>
      <c r="N306" s="18"/>
      <c r="O306" s="18"/>
      <c r="P306" s="18"/>
    </row>
    <row r="307" spans="1:16" x14ac:dyDescent="0.2">
      <c r="A307" s="23">
        <v>46048</v>
      </c>
      <c r="B307" s="18" t="s">
        <v>54</v>
      </c>
      <c r="C307" s="18" t="s">
        <v>33</v>
      </c>
      <c r="D307" s="18">
        <v>3272</v>
      </c>
      <c r="E307" s="18" t="s">
        <v>323</v>
      </c>
      <c r="F307" s="18">
        <v>232.1</v>
      </c>
      <c r="G307" s="18">
        <v>500</v>
      </c>
      <c r="H307" s="18">
        <v>24</v>
      </c>
      <c r="I307" s="18"/>
      <c r="J307" s="24">
        <f t="shared" si="10"/>
        <v>12000</v>
      </c>
      <c r="K307" s="27">
        <f t="shared" si="9"/>
        <v>4.9309664694280079E-3</v>
      </c>
      <c r="L307" s="18">
        <v>1</v>
      </c>
      <c r="M307" s="18">
        <v>3.2</v>
      </c>
      <c r="N307" s="18"/>
      <c r="O307" s="18">
        <v>29.3</v>
      </c>
      <c r="P307" s="18"/>
    </row>
    <row r="308" spans="1:16" x14ac:dyDescent="0.2">
      <c r="A308" s="23">
        <v>46048</v>
      </c>
      <c r="B308" s="18" t="s">
        <v>54</v>
      </c>
      <c r="C308" s="18" t="s">
        <v>24</v>
      </c>
      <c r="D308" s="18">
        <v>3517</v>
      </c>
      <c r="E308" s="18" t="s">
        <v>49</v>
      </c>
      <c r="F308" s="18"/>
      <c r="G308" s="18">
        <v>4000</v>
      </c>
      <c r="H308" s="18">
        <v>1</v>
      </c>
      <c r="I308" s="18"/>
      <c r="J308" s="24">
        <f t="shared" si="10"/>
        <v>4000</v>
      </c>
      <c r="K308" s="27">
        <f t="shared" si="9"/>
        <v>0</v>
      </c>
      <c r="L308" s="18"/>
      <c r="M308" s="18"/>
      <c r="N308" s="18"/>
      <c r="O308" s="18"/>
      <c r="P308" s="18"/>
    </row>
    <row r="309" spans="1:16" x14ac:dyDescent="0.2">
      <c r="A309" s="23">
        <v>46048</v>
      </c>
      <c r="B309" s="18" t="s">
        <v>54</v>
      </c>
      <c r="C309" s="18" t="s">
        <v>27</v>
      </c>
      <c r="D309" s="18">
        <v>3186</v>
      </c>
      <c r="E309" s="18" t="s">
        <v>541</v>
      </c>
      <c r="F309" s="18"/>
      <c r="G309" s="18">
        <v>500</v>
      </c>
      <c r="H309" s="18">
        <v>4</v>
      </c>
      <c r="I309" s="18">
        <v>50</v>
      </c>
      <c r="J309" s="24">
        <f t="shared" si="10"/>
        <v>2050</v>
      </c>
      <c r="K309" s="27">
        <f t="shared" si="9"/>
        <v>0</v>
      </c>
      <c r="L309" s="18">
        <v>3.15</v>
      </c>
      <c r="M309" s="18"/>
      <c r="N309" s="18"/>
      <c r="O309" s="18"/>
      <c r="P309" s="18"/>
    </row>
    <row r="310" spans="1:16" x14ac:dyDescent="0.2">
      <c r="A310" s="23">
        <v>46048</v>
      </c>
      <c r="B310" s="18" t="s">
        <v>54</v>
      </c>
      <c r="C310" s="18" t="s">
        <v>20</v>
      </c>
      <c r="D310" s="18">
        <v>3319</v>
      </c>
      <c r="E310" s="18" t="s">
        <v>543</v>
      </c>
      <c r="F310" s="18">
        <v>88.4</v>
      </c>
      <c r="G310" s="18">
        <v>4000</v>
      </c>
      <c r="H310" s="18">
        <v>12</v>
      </c>
      <c r="I310" s="18"/>
      <c r="J310" s="24">
        <f t="shared" si="10"/>
        <v>48000</v>
      </c>
      <c r="K310" s="27">
        <f t="shared" si="9"/>
        <v>0</v>
      </c>
      <c r="L310" s="18"/>
      <c r="M310" s="18"/>
      <c r="N310" s="18"/>
      <c r="O310" s="18"/>
      <c r="P310" s="18"/>
    </row>
    <row r="311" spans="1:16" x14ac:dyDescent="0.2">
      <c r="A311" s="23">
        <v>46048</v>
      </c>
      <c r="B311" s="18" t="s">
        <v>54</v>
      </c>
      <c r="C311" s="18" t="s">
        <v>24</v>
      </c>
      <c r="D311" s="18">
        <v>3470</v>
      </c>
      <c r="E311" s="18" t="s">
        <v>544</v>
      </c>
      <c r="F311" s="18">
        <v>157.4</v>
      </c>
      <c r="G311" s="18">
        <v>4000</v>
      </c>
      <c r="H311" s="18">
        <v>15</v>
      </c>
      <c r="I311" s="18">
        <v>3600</v>
      </c>
      <c r="J311" s="24">
        <f t="shared" si="10"/>
        <v>63600</v>
      </c>
      <c r="K311" s="27">
        <f t="shared" si="9"/>
        <v>6.9885641677255401E-3</v>
      </c>
      <c r="L311" s="18">
        <v>1.1000000000000001</v>
      </c>
      <c r="M311" s="18"/>
      <c r="N311" s="18"/>
      <c r="O311" s="18"/>
      <c r="P311" s="18"/>
    </row>
    <row r="312" spans="1:16" x14ac:dyDescent="0.2">
      <c r="A312" s="23">
        <v>46048</v>
      </c>
      <c r="B312" s="18" t="s">
        <v>54</v>
      </c>
      <c r="C312" s="18" t="s">
        <v>27</v>
      </c>
      <c r="D312" s="18">
        <v>3316</v>
      </c>
      <c r="E312" s="18" t="s">
        <v>545</v>
      </c>
      <c r="F312" s="18">
        <v>95.9</v>
      </c>
      <c r="G312" s="18">
        <v>700</v>
      </c>
      <c r="H312" s="18">
        <v>9</v>
      </c>
      <c r="I312" s="18">
        <v>100</v>
      </c>
      <c r="J312" s="24">
        <f t="shared" si="10"/>
        <v>6400</v>
      </c>
      <c r="K312" s="27">
        <f t="shared" si="9"/>
        <v>0.10371179039301309</v>
      </c>
      <c r="L312" s="18">
        <v>9.5</v>
      </c>
      <c r="M312" s="18"/>
      <c r="N312" s="18"/>
      <c r="O312" s="18">
        <v>4.3</v>
      </c>
      <c r="P312" s="18"/>
    </row>
    <row r="313" spans="1:16" x14ac:dyDescent="0.2">
      <c r="A313" s="23">
        <v>46048</v>
      </c>
      <c r="B313" s="18" t="s">
        <v>54</v>
      </c>
      <c r="C313" s="18" t="s">
        <v>27</v>
      </c>
      <c r="D313" s="18">
        <v>3435</v>
      </c>
      <c r="E313" s="18" t="s">
        <v>546</v>
      </c>
      <c r="F313" s="18">
        <v>287.3</v>
      </c>
      <c r="G313" s="18">
        <v>4000</v>
      </c>
      <c r="H313" s="18">
        <v>19</v>
      </c>
      <c r="I313" s="18"/>
      <c r="J313" s="24">
        <f t="shared" si="10"/>
        <v>76000</v>
      </c>
      <c r="K313" s="27">
        <f t="shared" si="9"/>
        <v>1.2878524190741385E-2</v>
      </c>
      <c r="L313" s="18">
        <v>3.7</v>
      </c>
      <c r="M313" s="18"/>
      <c r="N313" s="18"/>
      <c r="O313" s="18"/>
      <c r="P313" s="18"/>
    </row>
    <row r="314" spans="1:16" x14ac:dyDescent="0.2">
      <c r="A314" s="23">
        <v>46048</v>
      </c>
      <c r="B314" s="18" t="s">
        <v>54</v>
      </c>
      <c r="C314" s="18" t="s">
        <v>33</v>
      </c>
      <c r="D314" s="18">
        <v>3285</v>
      </c>
      <c r="E314" s="18" t="s">
        <v>202</v>
      </c>
      <c r="F314" s="18">
        <v>479.1</v>
      </c>
      <c r="G314" s="18">
        <v>500</v>
      </c>
      <c r="H314" s="18">
        <v>46</v>
      </c>
      <c r="I314" s="18"/>
      <c r="J314" s="24">
        <f t="shared" si="10"/>
        <v>23000</v>
      </c>
      <c r="K314" s="27">
        <f t="shared" si="9"/>
        <v>7.1581961345740866E-3</v>
      </c>
      <c r="L314" s="18">
        <v>3</v>
      </c>
      <c r="M314" s="18">
        <v>11</v>
      </c>
      <c r="N314" s="18"/>
      <c r="O314" s="18">
        <v>60</v>
      </c>
      <c r="P314" s="18"/>
    </row>
    <row r="315" spans="1:16" x14ac:dyDescent="0.2">
      <c r="A315" s="23">
        <v>46048</v>
      </c>
      <c r="B315" s="18" t="s">
        <v>54</v>
      </c>
      <c r="C315" s="18" t="s">
        <v>20</v>
      </c>
      <c r="D315" s="18">
        <v>3631</v>
      </c>
      <c r="E315" s="18" t="s">
        <v>266</v>
      </c>
      <c r="F315" s="18">
        <v>146.6</v>
      </c>
      <c r="G315" s="18">
        <v>500</v>
      </c>
      <c r="H315" s="18">
        <v>19</v>
      </c>
      <c r="I315" s="18">
        <v>240</v>
      </c>
      <c r="J315" s="24">
        <f t="shared" si="10"/>
        <v>9740</v>
      </c>
      <c r="K315" s="27">
        <f t="shared" si="9"/>
        <v>1.9099590723055934E-2</v>
      </c>
      <c r="L315" s="18">
        <v>2.8</v>
      </c>
      <c r="M315" s="18"/>
      <c r="N315" s="18"/>
      <c r="O315" s="18"/>
      <c r="P315" s="18"/>
    </row>
    <row r="316" spans="1:16" x14ac:dyDescent="0.2">
      <c r="A316" s="23">
        <v>46048</v>
      </c>
      <c r="B316" s="18" t="s">
        <v>54</v>
      </c>
      <c r="C316" s="18" t="s">
        <v>33</v>
      </c>
      <c r="D316" s="18">
        <v>3307</v>
      </c>
      <c r="E316" s="18" t="s">
        <v>199</v>
      </c>
      <c r="F316" s="18">
        <v>456.8</v>
      </c>
      <c r="G316" s="18">
        <v>800</v>
      </c>
      <c r="H316" s="18">
        <v>60</v>
      </c>
      <c r="I316" s="18">
        <v>400</v>
      </c>
      <c r="J316" s="24">
        <f t="shared" si="10"/>
        <v>48400</v>
      </c>
      <c r="K316" s="27">
        <f t="shared" si="9"/>
        <v>2.7652086475615889E-3</v>
      </c>
      <c r="L316" s="18">
        <v>1.1000000000000001</v>
      </c>
      <c r="M316" s="18"/>
      <c r="N316" s="18"/>
      <c r="O316" s="18">
        <v>59</v>
      </c>
      <c r="P316" s="18"/>
    </row>
    <row r="317" spans="1:16" x14ac:dyDescent="0.2">
      <c r="A317" s="23">
        <v>46048</v>
      </c>
      <c r="B317" s="18" t="s">
        <v>54</v>
      </c>
      <c r="C317" s="18" t="s">
        <v>24</v>
      </c>
      <c r="D317" s="18">
        <v>3471</v>
      </c>
      <c r="E317" s="18" t="s">
        <v>547</v>
      </c>
      <c r="F317" s="18">
        <v>124.6</v>
      </c>
      <c r="G317" s="18">
        <v>3200</v>
      </c>
      <c r="H317" s="18">
        <v>13</v>
      </c>
      <c r="I317" s="18"/>
      <c r="J317" s="24">
        <f t="shared" si="10"/>
        <v>41600</v>
      </c>
      <c r="K317" s="27">
        <f t="shared" si="9"/>
        <v>7.2231139646869993E-3</v>
      </c>
      <c r="L317" s="18">
        <v>0.9</v>
      </c>
      <c r="M317" s="18"/>
      <c r="N317" s="18"/>
      <c r="O317" s="18"/>
      <c r="P317" s="18"/>
    </row>
    <row r="318" spans="1:16" x14ac:dyDescent="0.2">
      <c r="A318" s="23">
        <v>46048</v>
      </c>
      <c r="B318" s="18" t="s">
        <v>54</v>
      </c>
      <c r="C318" s="18" t="s">
        <v>15</v>
      </c>
      <c r="D318" s="18">
        <v>2865</v>
      </c>
      <c r="E318" s="18" t="s">
        <v>548</v>
      </c>
      <c r="F318" s="18">
        <v>46.2</v>
      </c>
      <c r="G318" s="18">
        <v>150</v>
      </c>
      <c r="H318" s="18">
        <v>3</v>
      </c>
      <c r="I318" s="18">
        <v>75</v>
      </c>
      <c r="J318" s="24">
        <f t="shared" si="10"/>
        <v>525</v>
      </c>
      <c r="K318" s="27">
        <f t="shared" si="9"/>
        <v>0.2056277056277056</v>
      </c>
      <c r="L318" s="18">
        <v>9.5</v>
      </c>
      <c r="M318" s="18"/>
      <c r="N318" s="18"/>
      <c r="O318" s="18"/>
      <c r="P318" s="18"/>
    </row>
    <row r="319" spans="1:16" x14ac:dyDescent="0.2">
      <c r="A319" s="23">
        <v>46048</v>
      </c>
      <c r="B319" s="18" t="s">
        <v>54</v>
      </c>
      <c r="C319" s="18" t="s">
        <v>15</v>
      </c>
      <c r="D319" s="18">
        <v>3621</v>
      </c>
      <c r="E319" s="18" t="s">
        <v>473</v>
      </c>
      <c r="F319" s="18">
        <v>563.4</v>
      </c>
      <c r="G319" s="18">
        <v>175</v>
      </c>
      <c r="H319" s="18">
        <v>53</v>
      </c>
      <c r="I319" s="18"/>
      <c r="J319" s="24">
        <f t="shared" si="10"/>
        <v>9275</v>
      </c>
      <c r="K319" s="27">
        <f t="shared" si="9"/>
        <v>1.526446574369897E-2</v>
      </c>
      <c r="L319" s="18">
        <v>8.6</v>
      </c>
      <c r="M319" s="18"/>
      <c r="N319" s="18"/>
      <c r="O319" s="18"/>
      <c r="P319" s="18"/>
    </row>
    <row r="320" spans="1:16" x14ac:dyDescent="0.2">
      <c r="A320" s="23">
        <v>46049</v>
      </c>
      <c r="B320" s="18" t="s">
        <v>14</v>
      </c>
      <c r="C320" s="18" t="s">
        <v>15</v>
      </c>
      <c r="D320" s="18">
        <v>3621</v>
      </c>
      <c r="E320" s="18" t="s">
        <v>473</v>
      </c>
      <c r="F320" s="18">
        <v>52</v>
      </c>
      <c r="G320" s="18">
        <v>175</v>
      </c>
      <c r="H320" s="18">
        <v>2</v>
      </c>
      <c r="I320" s="18"/>
      <c r="J320" s="24">
        <f t="shared" si="10"/>
        <v>350</v>
      </c>
      <c r="K320" s="27">
        <f t="shared" si="9"/>
        <v>3.2692307692307694E-2</v>
      </c>
      <c r="L320" s="18">
        <v>1.7</v>
      </c>
      <c r="M320" s="18"/>
      <c r="N320" s="18"/>
      <c r="O320" s="18"/>
      <c r="P320" s="18"/>
    </row>
    <row r="321" spans="1:16" x14ac:dyDescent="0.2">
      <c r="A321" s="23">
        <v>46049</v>
      </c>
      <c r="B321" s="18" t="s">
        <v>14</v>
      </c>
      <c r="C321" s="18" t="s">
        <v>15</v>
      </c>
      <c r="D321" s="18">
        <v>3568</v>
      </c>
      <c r="E321" s="18" t="s">
        <v>549</v>
      </c>
      <c r="F321" s="18">
        <v>443.4</v>
      </c>
      <c r="G321" s="18">
        <v>500</v>
      </c>
      <c r="H321" s="18">
        <v>21</v>
      </c>
      <c r="I321" s="18">
        <v>100</v>
      </c>
      <c r="J321" s="24">
        <f t="shared" si="10"/>
        <v>10600</v>
      </c>
      <c r="K321" s="27">
        <f t="shared" si="9"/>
        <v>4.5105999097880024E-3</v>
      </c>
      <c r="L321" s="18">
        <v>2</v>
      </c>
      <c r="M321" s="18"/>
      <c r="N321" s="18"/>
      <c r="O321" s="18"/>
      <c r="P321" s="18"/>
    </row>
    <row r="322" spans="1:16" x14ac:dyDescent="0.2">
      <c r="A322" s="23">
        <v>46049</v>
      </c>
      <c r="B322" s="18" t="s">
        <v>14</v>
      </c>
      <c r="C322" s="18" t="s">
        <v>15</v>
      </c>
      <c r="D322" s="18">
        <v>3575</v>
      </c>
      <c r="E322" s="18" t="s">
        <v>550</v>
      </c>
      <c r="F322" s="18">
        <v>84.3</v>
      </c>
      <c r="G322" s="18">
        <v>1000</v>
      </c>
      <c r="H322" s="18">
        <v>10</v>
      </c>
      <c r="I322" s="18">
        <v>700</v>
      </c>
      <c r="J322" s="24">
        <f t="shared" si="10"/>
        <v>10700</v>
      </c>
      <c r="K322" s="27">
        <f t="shared" si="9"/>
        <v>1.3048635824436538E-2</v>
      </c>
      <c r="L322" s="18">
        <v>1.1000000000000001</v>
      </c>
      <c r="M322" s="18"/>
      <c r="N322" s="18"/>
      <c r="O322" s="18"/>
      <c r="P322" s="18"/>
    </row>
    <row r="323" spans="1:16" x14ac:dyDescent="0.2">
      <c r="A323" s="23">
        <v>46049</v>
      </c>
      <c r="B323" s="18" t="s">
        <v>14</v>
      </c>
      <c r="C323" s="18" t="s">
        <v>15</v>
      </c>
      <c r="D323" s="18">
        <v>3553</v>
      </c>
      <c r="E323" s="18" t="s">
        <v>551</v>
      </c>
      <c r="F323" s="18">
        <v>572.20000000000005</v>
      </c>
      <c r="G323" s="18">
        <v>1500</v>
      </c>
      <c r="H323" s="18">
        <v>33</v>
      </c>
      <c r="I323" s="18">
        <v>900</v>
      </c>
      <c r="J323" s="24">
        <f t="shared" si="10"/>
        <v>50400</v>
      </c>
      <c r="K323" s="27">
        <f t="shared" si="9"/>
        <v>8.2139112198531972E-3</v>
      </c>
      <c r="L323" s="18">
        <v>4.7</v>
      </c>
      <c r="M323" s="18"/>
      <c r="N323" s="18"/>
      <c r="O323" s="18"/>
      <c r="P323" s="18"/>
    </row>
    <row r="324" spans="1:16" x14ac:dyDescent="0.2">
      <c r="A324" s="23">
        <v>46049</v>
      </c>
      <c r="B324" s="18" t="s">
        <v>14</v>
      </c>
      <c r="C324" s="18" t="s">
        <v>15</v>
      </c>
      <c r="D324" s="18">
        <v>3561</v>
      </c>
      <c r="E324" s="18" t="s">
        <v>52</v>
      </c>
      <c r="F324" s="18">
        <v>180.8</v>
      </c>
      <c r="G324" s="18">
        <v>500</v>
      </c>
      <c r="H324" s="18">
        <v>27</v>
      </c>
      <c r="I324" s="18"/>
      <c r="J324" s="24">
        <f t="shared" si="10"/>
        <v>13500</v>
      </c>
      <c r="K324" s="27">
        <f t="shared" si="9"/>
        <v>1.2168141592920354E-2</v>
      </c>
      <c r="L324" s="18">
        <v>2.2000000000000002</v>
      </c>
      <c r="M324" s="18"/>
      <c r="N324" s="18"/>
      <c r="O324" s="18"/>
      <c r="P324" s="18"/>
    </row>
    <row r="325" spans="1:16" x14ac:dyDescent="0.2">
      <c r="A325" s="23">
        <v>46049</v>
      </c>
      <c r="B325" s="18" t="s">
        <v>14</v>
      </c>
      <c r="C325" s="18" t="s">
        <v>20</v>
      </c>
      <c r="D325" s="18">
        <v>3319</v>
      </c>
      <c r="E325" s="18" t="s">
        <v>543</v>
      </c>
      <c r="F325" s="18">
        <v>83</v>
      </c>
      <c r="G325" s="18">
        <v>4000</v>
      </c>
      <c r="H325" s="18">
        <v>10</v>
      </c>
      <c r="I325" s="18">
        <v>2100</v>
      </c>
      <c r="J325" s="24">
        <f t="shared" si="10"/>
        <v>42100</v>
      </c>
      <c r="K325" s="27">
        <f t="shared" si="9"/>
        <v>1.8072289156626505E-2</v>
      </c>
      <c r="L325" s="18">
        <v>1.5</v>
      </c>
      <c r="M325" s="18"/>
      <c r="N325" s="18"/>
      <c r="O325" s="18"/>
      <c r="P325" s="18"/>
    </row>
    <row r="326" spans="1:16" x14ac:dyDescent="0.2">
      <c r="A326" s="23">
        <v>46049</v>
      </c>
      <c r="B326" s="18" t="s">
        <v>14</v>
      </c>
      <c r="C326" s="18" t="s">
        <v>20</v>
      </c>
      <c r="D326" s="18">
        <v>3356</v>
      </c>
      <c r="E326" s="18" t="s">
        <v>552</v>
      </c>
      <c r="F326" s="18">
        <v>150</v>
      </c>
      <c r="G326" s="18">
        <v>500</v>
      </c>
      <c r="H326" s="18">
        <v>10</v>
      </c>
      <c r="I326" s="18"/>
      <c r="J326" s="24">
        <f t="shared" si="10"/>
        <v>5000</v>
      </c>
      <c r="K326" s="27">
        <f t="shared" si="9"/>
        <v>2.1999999999999999E-2</v>
      </c>
      <c r="L326" s="18">
        <v>3.3</v>
      </c>
      <c r="M326" s="18"/>
      <c r="N326" s="18"/>
      <c r="O326" s="18"/>
      <c r="P326" s="18"/>
    </row>
    <row r="327" spans="1:16" x14ac:dyDescent="0.2">
      <c r="A327" s="23">
        <v>46049</v>
      </c>
      <c r="B327" s="18" t="s">
        <v>14</v>
      </c>
      <c r="C327" s="18" t="s">
        <v>24</v>
      </c>
      <c r="D327" s="18">
        <v>3471</v>
      </c>
      <c r="E327" s="18" t="s">
        <v>547</v>
      </c>
      <c r="F327" s="18">
        <v>132.5</v>
      </c>
      <c r="G327" s="18">
        <v>3200</v>
      </c>
      <c r="H327" s="18">
        <v>10</v>
      </c>
      <c r="I327" s="18">
        <v>300</v>
      </c>
      <c r="J327" s="24">
        <f t="shared" si="10"/>
        <v>32300</v>
      </c>
      <c r="K327" s="27">
        <f t="shared" si="9"/>
        <v>1.8867924528301886E-2</v>
      </c>
      <c r="L327" s="18">
        <v>2.5</v>
      </c>
      <c r="M327" s="18"/>
      <c r="N327" s="18"/>
      <c r="O327" s="18"/>
      <c r="P327" s="18"/>
    </row>
    <row r="328" spans="1:16" x14ac:dyDescent="0.2">
      <c r="A328" s="23">
        <v>46049</v>
      </c>
      <c r="B328" s="18" t="s">
        <v>14</v>
      </c>
      <c r="C328" s="18" t="s">
        <v>24</v>
      </c>
      <c r="D328" s="18">
        <v>3630</v>
      </c>
      <c r="E328" s="18" t="s">
        <v>553</v>
      </c>
      <c r="F328" s="18">
        <v>143</v>
      </c>
      <c r="G328" s="18">
        <v>2000</v>
      </c>
      <c r="H328" s="18">
        <v>28</v>
      </c>
      <c r="I328" s="18"/>
      <c r="J328" s="24">
        <f t="shared" si="10"/>
        <v>56000</v>
      </c>
      <c r="K328" s="27">
        <f t="shared" si="9"/>
        <v>9.0909090909090905E-3</v>
      </c>
      <c r="L328" s="18">
        <v>1.3</v>
      </c>
      <c r="M328" s="18"/>
      <c r="N328" s="18">
        <v>4.5</v>
      </c>
      <c r="O328" s="18"/>
      <c r="P328" s="18"/>
    </row>
    <row r="329" spans="1:16" x14ac:dyDescent="0.2">
      <c r="A329" s="23">
        <v>46049</v>
      </c>
      <c r="B329" s="18" t="s">
        <v>14</v>
      </c>
      <c r="C329" s="18" t="s">
        <v>27</v>
      </c>
      <c r="D329" s="18">
        <v>3435</v>
      </c>
      <c r="E329" s="18" t="s">
        <v>546</v>
      </c>
      <c r="F329" s="18">
        <v>80.2</v>
      </c>
      <c r="G329" s="18">
        <v>4000</v>
      </c>
      <c r="H329" s="18">
        <v>6</v>
      </c>
      <c r="I329" s="18">
        <v>2000</v>
      </c>
      <c r="J329" s="24">
        <f t="shared" si="10"/>
        <v>26000</v>
      </c>
      <c r="K329" s="27">
        <f t="shared" si="9"/>
        <v>0</v>
      </c>
      <c r="L329" s="18"/>
      <c r="M329" s="18"/>
      <c r="N329" s="18"/>
      <c r="O329" s="18"/>
      <c r="P329" s="18"/>
    </row>
    <row r="330" spans="1:16" x14ac:dyDescent="0.2">
      <c r="A330" s="23">
        <v>46049</v>
      </c>
      <c r="B330" s="18" t="s">
        <v>14</v>
      </c>
      <c r="C330" s="18" t="s">
        <v>27</v>
      </c>
      <c r="D330" s="18">
        <v>3344</v>
      </c>
      <c r="E330" s="18" t="s">
        <v>554</v>
      </c>
      <c r="F330" s="18">
        <v>146.1</v>
      </c>
      <c r="G330" s="18">
        <v>2000</v>
      </c>
      <c r="H330" s="18">
        <v>16</v>
      </c>
      <c r="I330" s="18"/>
      <c r="J330" s="24">
        <f t="shared" si="10"/>
        <v>32000</v>
      </c>
      <c r="K330" s="27">
        <f t="shared" si="9"/>
        <v>8.2135523613963049E-2</v>
      </c>
      <c r="L330" s="18">
        <v>12</v>
      </c>
      <c r="M330" s="18"/>
      <c r="N330" s="18"/>
      <c r="O330" s="18"/>
      <c r="P330" s="18"/>
    </row>
    <row r="331" spans="1:16" x14ac:dyDescent="0.2">
      <c r="A331" s="23">
        <v>46050</v>
      </c>
      <c r="B331" s="18" t="s">
        <v>40</v>
      </c>
      <c r="C331" s="18" t="s">
        <v>15</v>
      </c>
      <c r="D331" s="18">
        <v>3561</v>
      </c>
      <c r="E331" s="18" t="s">
        <v>52</v>
      </c>
      <c r="F331" s="18">
        <v>130.19999999999999</v>
      </c>
      <c r="G331" s="18">
        <v>500</v>
      </c>
      <c r="H331" s="18">
        <v>15</v>
      </c>
      <c r="I331" s="18">
        <v>130</v>
      </c>
      <c r="J331" s="24">
        <f t="shared" si="10"/>
        <v>7630</v>
      </c>
      <c r="K331" s="27">
        <f t="shared" si="9"/>
        <v>5.3763440860215058E-3</v>
      </c>
      <c r="L331" s="18">
        <v>0.7</v>
      </c>
      <c r="M331" s="18"/>
      <c r="N331" s="18"/>
      <c r="O331" s="18"/>
      <c r="P331" s="18"/>
    </row>
    <row r="332" spans="1:16" x14ac:dyDescent="0.2">
      <c r="A332" s="23">
        <v>46050</v>
      </c>
      <c r="B332" s="18" t="s">
        <v>40</v>
      </c>
      <c r="C332" s="18" t="s">
        <v>15</v>
      </c>
      <c r="D332" s="18">
        <v>3462</v>
      </c>
      <c r="E332" s="18" t="s">
        <v>555</v>
      </c>
      <c r="F332" s="18">
        <v>262.5</v>
      </c>
      <c r="G332" s="18">
        <v>1000</v>
      </c>
      <c r="H332" s="18">
        <v>27</v>
      </c>
      <c r="I332" s="18">
        <v>850</v>
      </c>
      <c r="J332" s="24">
        <f t="shared" si="10"/>
        <v>27850</v>
      </c>
      <c r="K332" s="27">
        <f t="shared" si="9"/>
        <v>7.619047619047619E-3</v>
      </c>
      <c r="L332" s="18">
        <v>2</v>
      </c>
      <c r="M332" s="18"/>
      <c r="N332" s="18"/>
      <c r="O332" s="18"/>
      <c r="P332" s="18"/>
    </row>
    <row r="333" spans="1:16" x14ac:dyDescent="0.2">
      <c r="A333" s="23">
        <v>46050</v>
      </c>
      <c r="B333" s="18" t="s">
        <v>40</v>
      </c>
      <c r="C333" s="18" t="s">
        <v>15</v>
      </c>
      <c r="D333" s="18">
        <v>3483</v>
      </c>
      <c r="E333" s="18" t="s">
        <v>556</v>
      </c>
      <c r="F333" s="18">
        <v>543</v>
      </c>
      <c r="G333" s="18">
        <v>600</v>
      </c>
      <c r="H333" s="18">
        <v>56</v>
      </c>
      <c r="I333" s="18">
        <v>470</v>
      </c>
      <c r="J333" s="24">
        <f t="shared" ref="J333:J364" si="11">G333*H333+I333</f>
        <v>34070</v>
      </c>
      <c r="K333" s="27">
        <f t="shared" si="9"/>
        <v>8.8397790055248608E-3</v>
      </c>
      <c r="L333" s="18">
        <v>4.8</v>
      </c>
      <c r="M333" s="18"/>
      <c r="N333" s="18"/>
      <c r="O333" s="18"/>
      <c r="P333" s="18"/>
    </row>
    <row r="334" spans="1:16" x14ac:dyDescent="0.2">
      <c r="A334" s="23">
        <v>46050</v>
      </c>
      <c r="B334" s="18" t="s">
        <v>40</v>
      </c>
      <c r="C334" s="18" t="s">
        <v>15</v>
      </c>
      <c r="D334" s="18">
        <v>3569</v>
      </c>
      <c r="E334" s="18" t="s">
        <v>557</v>
      </c>
      <c r="F334" s="18">
        <v>319.7</v>
      </c>
      <c r="G334" s="18">
        <v>500</v>
      </c>
      <c r="H334" s="18">
        <v>26</v>
      </c>
      <c r="I334" s="18"/>
      <c r="J334" s="24">
        <f t="shared" si="11"/>
        <v>13000</v>
      </c>
      <c r="K334" s="27">
        <f t="shared" si="9"/>
        <v>1.5639662183296842E-3</v>
      </c>
      <c r="L334" s="18">
        <v>0.5</v>
      </c>
      <c r="M334" s="18"/>
      <c r="N334" s="18"/>
      <c r="O334" s="18"/>
      <c r="P334" s="18"/>
    </row>
    <row r="335" spans="1:16" x14ac:dyDescent="0.2">
      <c r="A335" s="23">
        <v>46050</v>
      </c>
      <c r="B335" s="18" t="s">
        <v>40</v>
      </c>
      <c r="C335" s="18" t="s">
        <v>24</v>
      </c>
      <c r="D335" s="18">
        <v>3589</v>
      </c>
      <c r="E335" s="18" t="s">
        <v>483</v>
      </c>
      <c r="F335" s="18">
        <v>73.099999999999994</v>
      </c>
      <c r="G335" s="18">
        <v>6000</v>
      </c>
      <c r="H335" s="18">
        <v>10</v>
      </c>
      <c r="I335" s="18"/>
      <c r="J335" s="24">
        <f t="shared" si="11"/>
        <v>60000</v>
      </c>
      <c r="K335" s="27">
        <f t="shared" si="9"/>
        <v>4.1039671682626538E-3</v>
      </c>
      <c r="L335" s="18">
        <v>0.3</v>
      </c>
      <c r="M335" s="18"/>
      <c r="N335" s="18"/>
      <c r="O335" s="18"/>
      <c r="P335" s="18"/>
    </row>
    <row r="336" spans="1:16" x14ac:dyDescent="0.2">
      <c r="A336" s="23">
        <v>46050</v>
      </c>
      <c r="B336" s="18" t="s">
        <v>40</v>
      </c>
      <c r="C336" s="18" t="s">
        <v>27</v>
      </c>
      <c r="D336" s="18">
        <v>3344</v>
      </c>
      <c r="E336" s="18" t="s">
        <v>482</v>
      </c>
      <c r="F336" s="18">
        <v>100.8</v>
      </c>
      <c r="G336" s="18">
        <v>2000</v>
      </c>
      <c r="H336" s="18">
        <v>17</v>
      </c>
      <c r="I336" s="18">
        <v>1700</v>
      </c>
      <c r="J336" s="24">
        <f t="shared" si="11"/>
        <v>35700</v>
      </c>
      <c r="K336" s="27">
        <f t="shared" si="9"/>
        <v>1.984126984126984E-2</v>
      </c>
      <c r="L336" s="18">
        <v>2</v>
      </c>
      <c r="M336" s="18">
        <v>1.2</v>
      </c>
      <c r="N336" s="18"/>
      <c r="O336" s="18"/>
      <c r="P336" s="18"/>
    </row>
    <row r="337" spans="1:16" x14ac:dyDescent="0.2">
      <c r="A337" s="23">
        <v>46050</v>
      </c>
      <c r="B337" s="18" t="s">
        <v>40</v>
      </c>
      <c r="C337" s="18" t="s">
        <v>20</v>
      </c>
      <c r="D337" s="18">
        <v>3356</v>
      </c>
      <c r="E337" s="18" t="s">
        <v>558</v>
      </c>
      <c r="F337" s="18">
        <v>47</v>
      </c>
      <c r="G337" s="18">
        <v>500</v>
      </c>
      <c r="H337" s="18">
        <v>5</v>
      </c>
      <c r="I337" s="18">
        <v>450</v>
      </c>
      <c r="J337" s="24">
        <f t="shared" si="11"/>
        <v>2950</v>
      </c>
      <c r="K337" s="27">
        <f t="shared" si="9"/>
        <v>6.8669527896995708E-2</v>
      </c>
      <c r="L337" s="18">
        <v>3.2</v>
      </c>
      <c r="M337" s="18"/>
      <c r="N337" s="18"/>
      <c r="O337" s="18">
        <v>0.4</v>
      </c>
      <c r="P337" s="18"/>
    </row>
    <row r="338" spans="1:16" x14ac:dyDescent="0.2">
      <c r="A338" s="23">
        <v>46050</v>
      </c>
      <c r="B338" s="18" t="s">
        <v>40</v>
      </c>
      <c r="C338" s="18" t="s">
        <v>20</v>
      </c>
      <c r="D338" s="18">
        <v>3422</v>
      </c>
      <c r="E338" s="18" t="s">
        <v>559</v>
      </c>
      <c r="F338" s="18">
        <v>207.6</v>
      </c>
      <c r="G338" s="18">
        <v>125</v>
      </c>
      <c r="H338" s="18">
        <v>16</v>
      </c>
      <c r="I338" s="18">
        <v>93</v>
      </c>
      <c r="J338" s="24">
        <f t="shared" si="11"/>
        <v>2093</v>
      </c>
      <c r="K338" s="27">
        <f t="shared" si="9"/>
        <v>3.3718689788053952E-2</v>
      </c>
      <c r="L338" s="18">
        <v>7</v>
      </c>
      <c r="M338" s="18"/>
      <c r="N338" s="18"/>
      <c r="O338" s="18"/>
      <c r="P338" s="18"/>
    </row>
    <row r="339" spans="1:16" x14ac:dyDescent="0.2">
      <c r="A339" s="23">
        <v>46050</v>
      </c>
      <c r="B339" s="18" t="s">
        <v>40</v>
      </c>
      <c r="C339" s="18" t="s">
        <v>20</v>
      </c>
      <c r="D339" s="18">
        <v>3637</v>
      </c>
      <c r="E339" s="18" t="s">
        <v>247</v>
      </c>
      <c r="F339" s="18">
        <v>156.19999999999999</v>
      </c>
      <c r="G339" s="18">
        <v>500</v>
      </c>
      <c r="H339" s="18">
        <v>17</v>
      </c>
      <c r="I339" s="18"/>
      <c r="J339" s="24">
        <f t="shared" si="11"/>
        <v>8500</v>
      </c>
      <c r="K339" s="27">
        <f t="shared" si="9"/>
        <v>1.6005121638924456E-2</v>
      </c>
      <c r="L339" s="18">
        <v>2.5</v>
      </c>
      <c r="M339" s="18"/>
      <c r="N339" s="18">
        <v>1.4</v>
      </c>
      <c r="O339" s="18"/>
      <c r="P339" s="18"/>
    </row>
    <row r="340" spans="1:16" x14ac:dyDescent="0.2">
      <c r="A340" s="23">
        <v>46050</v>
      </c>
      <c r="B340" s="18" t="s">
        <v>40</v>
      </c>
      <c r="C340" s="18" t="s">
        <v>20</v>
      </c>
      <c r="D340" s="18">
        <v>3573</v>
      </c>
      <c r="E340" s="18" t="s">
        <v>560</v>
      </c>
      <c r="F340" s="18">
        <v>320.3</v>
      </c>
      <c r="G340" s="18">
        <v>1300</v>
      </c>
      <c r="H340" s="18">
        <v>30</v>
      </c>
      <c r="I340" s="18"/>
      <c r="J340" s="24">
        <f t="shared" si="11"/>
        <v>39000</v>
      </c>
      <c r="K340" s="27">
        <f t="shared" si="9"/>
        <v>2.8098657508585701E-3</v>
      </c>
      <c r="L340" s="18">
        <v>0.9</v>
      </c>
      <c r="M340" s="18"/>
      <c r="N340" s="18"/>
      <c r="O340" s="18"/>
      <c r="P340" s="18"/>
    </row>
    <row r="341" spans="1:16" x14ac:dyDescent="0.2">
      <c r="A341" s="23">
        <v>46050</v>
      </c>
      <c r="B341" s="18" t="s">
        <v>40</v>
      </c>
      <c r="C341" s="18" t="s">
        <v>27</v>
      </c>
      <c r="D341" s="18">
        <v>3158</v>
      </c>
      <c r="E341" s="18" t="s">
        <v>150</v>
      </c>
      <c r="F341" s="18">
        <v>109.8</v>
      </c>
      <c r="G341" s="18">
        <v>1500</v>
      </c>
      <c r="H341" s="18">
        <v>10</v>
      </c>
      <c r="I341" s="18"/>
      <c r="J341" s="24">
        <f t="shared" si="11"/>
        <v>15000</v>
      </c>
      <c r="K341" s="27">
        <f t="shared" si="9"/>
        <v>1.4571948998178508E-2</v>
      </c>
      <c r="L341" s="18">
        <v>1.6</v>
      </c>
      <c r="M341" s="18">
        <v>2.8</v>
      </c>
      <c r="N341" s="18"/>
      <c r="O341" s="18"/>
      <c r="P341" s="18"/>
    </row>
    <row r="342" spans="1:16" x14ac:dyDescent="0.2">
      <c r="A342" s="23">
        <v>46050</v>
      </c>
      <c r="B342" s="18" t="s">
        <v>40</v>
      </c>
      <c r="C342" s="18" t="s">
        <v>33</v>
      </c>
      <c r="D342" s="18">
        <v>3570</v>
      </c>
      <c r="E342" s="18" t="s">
        <v>115</v>
      </c>
      <c r="F342" s="18">
        <v>312.7</v>
      </c>
      <c r="G342" s="18">
        <v>500</v>
      </c>
      <c r="H342" s="18">
        <v>26</v>
      </c>
      <c r="I342" s="18">
        <v>250</v>
      </c>
      <c r="J342" s="24">
        <f t="shared" si="11"/>
        <v>13250</v>
      </c>
      <c r="K342" s="27">
        <f t="shared" si="9"/>
        <v>7.5593952483801298E-3</v>
      </c>
      <c r="L342" s="18">
        <v>2.1</v>
      </c>
      <c r="M342" s="18"/>
      <c r="N342" s="18"/>
      <c r="O342" s="18">
        <v>34.9</v>
      </c>
      <c r="P342" s="18"/>
    </row>
    <row r="343" spans="1:16" x14ac:dyDescent="0.2">
      <c r="A343" s="23">
        <v>46051</v>
      </c>
      <c r="B343" s="18" t="s">
        <v>54</v>
      </c>
      <c r="C343" s="18" t="s">
        <v>20</v>
      </c>
      <c r="D343" s="18">
        <v>3573</v>
      </c>
      <c r="E343" s="18" t="s">
        <v>560</v>
      </c>
      <c r="F343" s="18">
        <v>484.7</v>
      </c>
      <c r="G343" s="18">
        <v>1300</v>
      </c>
      <c r="H343" s="18">
        <v>48</v>
      </c>
      <c r="I343" s="18">
        <v>700</v>
      </c>
      <c r="J343" s="24">
        <f t="shared" si="11"/>
        <v>63100</v>
      </c>
      <c r="K343" s="27">
        <f t="shared" si="9"/>
        <v>4.9515164018980812E-3</v>
      </c>
      <c r="L343" s="18">
        <v>2.4</v>
      </c>
      <c r="M343" s="18"/>
      <c r="N343" s="18"/>
      <c r="O343" s="18"/>
      <c r="P343" s="18"/>
    </row>
    <row r="344" spans="1:16" x14ac:dyDescent="0.2">
      <c r="A344" s="23">
        <v>46051</v>
      </c>
      <c r="B344" s="18" t="s">
        <v>54</v>
      </c>
      <c r="C344" s="18" t="s">
        <v>15</v>
      </c>
      <c r="D344" s="18">
        <v>3569</v>
      </c>
      <c r="E344" s="18" t="s">
        <v>557</v>
      </c>
      <c r="F344" s="18"/>
      <c r="G344" s="18">
        <v>500</v>
      </c>
      <c r="H344" s="18"/>
      <c r="I344" s="18">
        <v>400</v>
      </c>
      <c r="J344" s="24">
        <f t="shared" si="11"/>
        <v>400</v>
      </c>
      <c r="K344" s="27">
        <f t="shared" si="9"/>
        <v>0</v>
      </c>
      <c r="L344" s="18">
        <v>1.5</v>
      </c>
      <c r="M344" s="18"/>
      <c r="N344" s="18"/>
      <c r="O344" s="18"/>
      <c r="P344" s="18"/>
    </row>
    <row r="345" spans="1:16" x14ac:dyDescent="0.2">
      <c r="A345" s="23">
        <v>46051</v>
      </c>
      <c r="B345" s="18" t="s">
        <v>54</v>
      </c>
      <c r="C345" s="18" t="s">
        <v>24</v>
      </c>
      <c r="D345" s="18">
        <v>3589</v>
      </c>
      <c r="E345" s="18" t="s">
        <v>483</v>
      </c>
      <c r="F345" s="18">
        <v>49</v>
      </c>
      <c r="G345" s="18">
        <v>6000</v>
      </c>
      <c r="H345" s="18">
        <v>9</v>
      </c>
      <c r="I345" s="18"/>
      <c r="J345" s="24">
        <f t="shared" si="11"/>
        <v>54000</v>
      </c>
      <c r="K345" s="27">
        <f t="shared" si="9"/>
        <v>6.1224489795918364E-3</v>
      </c>
      <c r="L345" s="18">
        <v>0.3</v>
      </c>
      <c r="M345" s="18"/>
      <c r="N345" s="18"/>
      <c r="O345" s="18"/>
      <c r="P345" s="18"/>
    </row>
    <row r="346" spans="1:16" x14ac:dyDescent="0.2">
      <c r="A346" s="23">
        <v>46051</v>
      </c>
      <c r="B346" s="18" t="s">
        <v>54</v>
      </c>
      <c r="C346" s="18" t="s">
        <v>27</v>
      </c>
      <c r="D346" s="18">
        <v>3158</v>
      </c>
      <c r="E346" s="18" t="s">
        <v>150</v>
      </c>
      <c r="F346" s="18"/>
      <c r="G346" s="18">
        <v>1500</v>
      </c>
      <c r="H346" s="18">
        <v>3</v>
      </c>
      <c r="I346" s="18">
        <v>1200</v>
      </c>
      <c r="J346" s="24">
        <f t="shared" si="11"/>
        <v>5700</v>
      </c>
      <c r="K346" s="27">
        <f t="shared" si="9"/>
        <v>0</v>
      </c>
      <c r="L346" s="18">
        <v>1.8</v>
      </c>
      <c r="M346" s="18"/>
      <c r="N346" s="18"/>
      <c r="O346" s="18"/>
      <c r="P346" s="18"/>
    </row>
    <row r="347" spans="1:16" x14ac:dyDescent="0.2">
      <c r="A347" s="23">
        <v>46051</v>
      </c>
      <c r="B347" s="18" t="s">
        <v>54</v>
      </c>
      <c r="C347" s="18" t="s">
        <v>15</v>
      </c>
      <c r="D347" s="18">
        <v>3520</v>
      </c>
      <c r="E347" s="18" t="s">
        <v>561</v>
      </c>
      <c r="F347" s="18">
        <v>368.3</v>
      </c>
      <c r="G347" s="18">
        <v>2000</v>
      </c>
      <c r="H347" s="18">
        <v>22</v>
      </c>
      <c r="I347" s="18">
        <v>1670</v>
      </c>
      <c r="J347" s="24">
        <f t="shared" si="11"/>
        <v>45670</v>
      </c>
      <c r="K347" s="27">
        <f t="shared" si="9"/>
        <v>5.4303556882975834E-3</v>
      </c>
      <c r="L347" s="18">
        <v>2</v>
      </c>
      <c r="M347" s="18"/>
      <c r="N347" s="18"/>
      <c r="O347" s="18"/>
      <c r="P347" s="18"/>
    </row>
    <row r="348" spans="1:16" x14ac:dyDescent="0.2">
      <c r="A348" s="23">
        <v>46051</v>
      </c>
      <c r="B348" s="18" t="s">
        <v>54</v>
      </c>
      <c r="C348" s="18" t="s">
        <v>27</v>
      </c>
      <c r="D348" s="18">
        <v>3429</v>
      </c>
      <c r="E348" s="18" t="s">
        <v>562</v>
      </c>
      <c r="F348" s="18">
        <v>189.6</v>
      </c>
      <c r="G348" s="18">
        <v>4200</v>
      </c>
      <c r="H348" s="18">
        <v>13</v>
      </c>
      <c r="I348" s="18"/>
      <c r="J348" s="24">
        <f t="shared" si="11"/>
        <v>54600</v>
      </c>
      <c r="K348" s="27">
        <f t="shared" si="9"/>
        <v>9.4936708860759497E-3</v>
      </c>
      <c r="L348" s="18">
        <v>1.8</v>
      </c>
      <c r="M348" s="18"/>
      <c r="N348" s="18"/>
      <c r="O348" s="18"/>
      <c r="P348" s="18"/>
    </row>
    <row r="349" spans="1:16" x14ac:dyDescent="0.2">
      <c r="A349" s="23">
        <v>46051</v>
      </c>
      <c r="B349" s="18" t="s">
        <v>54</v>
      </c>
      <c r="C349" s="18" t="s">
        <v>15</v>
      </c>
      <c r="D349" s="18">
        <v>3615</v>
      </c>
      <c r="E349" s="18" t="s">
        <v>563</v>
      </c>
      <c r="F349" s="18">
        <v>612.29999999999995</v>
      </c>
      <c r="G349" s="18">
        <v>1000</v>
      </c>
      <c r="H349" s="18">
        <v>77</v>
      </c>
      <c r="I349" s="18"/>
      <c r="J349" s="24">
        <f t="shared" si="11"/>
        <v>77000</v>
      </c>
      <c r="K349" s="27">
        <f t="shared" si="9"/>
        <v>3.2663726931242859E-3</v>
      </c>
      <c r="L349" s="18">
        <v>2</v>
      </c>
      <c r="M349" s="18"/>
      <c r="N349" s="18"/>
      <c r="O349" s="18"/>
      <c r="P349" s="18"/>
    </row>
    <row r="350" spans="1:16" x14ac:dyDescent="0.2">
      <c r="A350" s="23">
        <v>46051</v>
      </c>
      <c r="B350" s="18" t="s">
        <v>54</v>
      </c>
      <c r="C350" s="18" t="s">
        <v>20</v>
      </c>
      <c r="D350" s="18">
        <v>3525</v>
      </c>
      <c r="E350" s="18" t="s">
        <v>198</v>
      </c>
      <c r="F350" s="18">
        <v>379.6</v>
      </c>
      <c r="G350" s="18">
        <v>1500</v>
      </c>
      <c r="H350" s="18">
        <v>30</v>
      </c>
      <c r="I350" s="18"/>
      <c r="J350" s="24">
        <f t="shared" si="11"/>
        <v>45000</v>
      </c>
      <c r="K350" s="27">
        <f t="shared" si="9"/>
        <v>6.0590094836670168E-3</v>
      </c>
      <c r="L350" s="18">
        <v>2.2999999999999998</v>
      </c>
      <c r="M350" s="18"/>
      <c r="N350" s="18"/>
      <c r="O350" s="18"/>
      <c r="P350" s="18"/>
    </row>
    <row r="351" spans="1:16" x14ac:dyDescent="0.2">
      <c r="A351" s="23">
        <v>46051</v>
      </c>
      <c r="B351" s="18" t="s">
        <v>54</v>
      </c>
      <c r="C351" s="18" t="s">
        <v>33</v>
      </c>
      <c r="D351" s="18">
        <v>3699</v>
      </c>
      <c r="E351" s="18" t="s">
        <v>199</v>
      </c>
      <c r="F351" s="18">
        <v>487.2</v>
      </c>
      <c r="G351" s="18">
        <v>1000</v>
      </c>
      <c r="H351" s="18">
        <v>53</v>
      </c>
      <c r="I351" s="18">
        <v>600</v>
      </c>
      <c r="J351" s="24">
        <f t="shared" si="11"/>
        <v>53600</v>
      </c>
      <c r="K351" s="27">
        <f t="shared" si="9"/>
        <v>8.270321361058602E-3</v>
      </c>
      <c r="L351" s="18">
        <v>3.5</v>
      </c>
      <c r="M351" s="18"/>
      <c r="N351" s="18"/>
      <c r="O351" s="18">
        <v>64</v>
      </c>
      <c r="P351" s="18"/>
    </row>
    <row r="352" spans="1:16" x14ac:dyDescent="0.2">
      <c r="A352" s="23">
        <v>46052</v>
      </c>
      <c r="B352" s="18" t="s">
        <v>14</v>
      </c>
      <c r="C352" s="18" t="s">
        <v>15</v>
      </c>
      <c r="D352" s="18">
        <v>3615</v>
      </c>
      <c r="E352" s="18" t="s">
        <v>563</v>
      </c>
      <c r="F352" s="18">
        <v>201.1</v>
      </c>
      <c r="G352" s="18">
        <v>1000</v>
      </c>
      <c r="H352" s="18">
        <v>20</v>
      </c>
      <c r="I352" s="18">
        <v>450</v>
      </c>
      <c r="J352" s="24">
        <f t="shared" si="11"/>
        <v>20450</v>
      </c>
      <c r="K352" s="27">
        <f t="shared" si="9"/>
        <v>1.093983092988563E-2</v>
      </c>
      <c r="L352" s="18">
        <v>2.2000000000000002</v>
      </c>
      <c r="M352" s="18"/>
      <c r="N352" s="18"/>
      <c r="O352" s="18"/>
      <c r="P352" s="18"/>
    </row>
    <row r="353" spans="1:16" x14ac:dyDescent="0.2">
      <c r="A353" s="23">
        <v>46052</v>
      </c>
      <c r="B353" s="18" t="s">
        <v>14</v>
      </c>
      <c r="C353" s="18" t="s">
        <v>15</v>
      </c>
      <c r="D353" s="18">
        <v>3578</v>
      </c>
      <c r="E353" s="18" t="s">
        <v>244</v>
      </c>
      <c r="F353" s="18">
        <v>202.5</v>
      </c>
      <c r="G353" s="18">
        <v>500</v>
      </c>
      <c r="H353" s="18">
        <v>23</v>
      </c>
      <c r="I353" s="18">
        <v>170</v>
      </c>
      <c r="J353" s="24">
        <f t="shared" si="11"/>
        <v>11670</v>
      </c>
      <c r="K353" s="27">
        <f t="shared" si="9"/>
        <v>9.3827160493827159E-3</v>
      </c>
      <c r="L353" s="18">
        <v>1.9</v>
      </c>
      <c r="M353" s="18"/>
      <c r="N353" s="18"/>
      <c r="O353" s="18"/>
      <c r="P353" s="18"/>
    </row>
    <row r="354" spans="1:16" x14ac:dyDescent="0.2">
      <c r="A354" s="23">
        <v>46052</v>
      </c>
      <c r="B354" s="18" t="s">
        <v>14</v>
      </c>
      <c r="C354" s="18" t="s">
        <v>15</v>
      </c>
      <c r="D354" s="18">
        <v>3497</v>
      </c>
      <c r="E354" s="18" t="s">
        <v>564</v>
      </c>
      <c r="F354" s="18">
        <v>36.200000000000003</v>
      </c>
      <c r="G354" s="18">
        <v>1500</v>
      </c>
      <c r="H354" s="18">
        <v>9</v>
      </c>
      <c r="I354" s="18">
        <v>250</v>
      </c>
      <c r="J354" s="24">
        <f t="shared" si="11"/>
        <v>13750</v>
      </c>
      <c r="K354" s="27">
        <f t="shared" si="9"/>
        <v>5.5248618784530384E-3</v>
      </c>
      <c r="L354" s="18">
        <v>0.2</v>
      </c>
      <c r="M354" s="18"/>
      <c r="N354" s="18"/>
      <c r="O354" s="18"/>
      <c r="P354" s="18"/>
    </row>
    <row r="355" spans="1:16" x14ac:dyDescent="0.2">
      <c r="A355" s="23">
        <v>46052</v>
      </c>
      <c r="B355" s="18" t="s">
        <v>14</v>
      </c>
      <c r="C355" s="18" t="s">
        <v>15</v>
      </c>
      <c r="D355" s="18">
        <v>3571</v>
      </c>
      <c r="E355" s="18" t="s">
        <v>565</v>
      </c>
      <c r="F355" s="18">
        <v>199</v>
      </c>
      <c r="G355" s="18">
        <v>1000</v>
      </c>
      <c r="H355" s="18">
        <v>18</v>
      </c>
      <c r="I355" s="18">
        <v>350</v>
      </c>
      <c r="J355" s="24">
        <f t="shared" si="11"/>
        <v>18350</v>
      </c>
      <c r="K355" s="27">
        <f t="shared" si="9"/>
        <v>1.2060301507537688E-2</v>
      </c>
      <c r="L355" s="18">
        <v>2.4</v>
      </c>
      <c r="M355" s="18"/>
      <c r="N355" s="18"/>
      <c r="O355" s="18"/>
      <c r="P355" s="18"/>
    </row>
    <row r="356" spans="1:16" x14ac:dyDescent="0.2">
      <c r="A356" s="23">
        <v>46052</v>
      </c>
      <c r="B356" s="18" t="s">
        <v>14</v>
      </c>
      <c r="C356" s="18" t="s">
        <v>15</v>
      </c>
      <c r="D356" s="18">
        <v>3619</v>
      </c>
      <c r="E356" s="18" t="s">
        <v>566</v>
      </c>
      <c r="F356" s="18">
        <v>204</v>
      </c>
      <c r="G356" s="18">
        <v>500</v>
      </c>
      <c r="H356" s="18">
        <v>25</v>
      </c>
      <c r="I356" s="18"/>
      <c r="J356" s="24">
        <f t="shared" si="11"/>
        <v>12500</v>
      </c>
      <c r="K356" s="27">
        <f t="shared" ref="K356:K419" si="12">IFERROR(L356/(F356-O356)*100%,0)</f>
        <v>1.9117647058823527E-2</v>
      </c>
      <c r="L356" s="18">
        <v>3.9</v>
      </c>
      <c r="M356" s="18"/>
      <c r="N356" s="18"/>
      <c r="O356" s="18"/>
      <c r="P356" s="18"/>
    </row>
    <row r="357" spans="1:16" x14ac:dyDescent="0.2">
      <c r="A357" s="23">
        <v>46052</v>
      </c>
      <c r="B357" s="18" t="s">
        <v>14</v>
      </c>
      <c r="C357" s="18" t="s">
        <v>15</v>
      </c>
      <c r="D357" s="18">
        <v>3606</v>
      </c>
      <c r="E357" s="18" t="s">
        <v>251</v>
      </c>
      <c r="F357" s="18">
        <v>76</v>
      </c>
      <c r="G357" s="18">
        <v>2000</v>
      </c>
      <c r="H357" s="18">
        <v>4</v>
      </c>
      <c r="I357" s="18"/>
      <c r="J357" s="24">
        <f t="shared" ref="J357:J375" si="13">G357*H357+I357</f>
        <v>8000</v>
      </c>
      <c r="K357" s="27">
        <f t="shared" si="12"/>
        <v>1.9736842105263157E-2</v>
      </c>
      <c r="L357" s="18">
        <v>1.5</v>
      </c>
      <c r="M357" s="18"/>
      <c r="N357" s="18"/>
      <c r="O357" s="18"/>
      <c r="P357" s="18"/>
    </row>
    <row r="358" spans="1:16" x14ac:dyDescent="0.2">
      <c r="A358" s="23">
        <v>46052</v>
      </c>
      <c r="B358" s="18" t="s">
        <v>14</v>
      </c>
      <c r="C358" s="18" t="s">
        <v>20</v>
      </c>
      <c r="D358" s="18">
        <v>3525</v>
      </c>
      <c r="E358" s="18" t="s">
        <v>198</v>
      </c>
      <c r="F358" s="18">
        <v>131.9</v>
      </c>
      <c r="G358" s="18">
        <v>1500</v>
      </c>
      <c r="H358" s="18">
        <v>11</v>
      </c>
      <c r="I358" s="18"/>
      <c r="J358" s="24">
        <f t="shared" si="13"/>
        <v>16500</v>
      </c>
      <c r="K358" s="27">
        <f t="shared" si="12"/>
        <v>6.0652009097801364E-3</v>
      </c>
      <c r="L358" s="18">
        <v>0.8</v>
      </c>
      <c r="M358" s="18"/>
      <c r="N358" s="18"/>
      <c r="O358" s="18"/>
      <c r="P358" s="18"/>
    </row>
    <row r="359" spans="1:16" x14ac:dyDescent="0.2">
      <c r="A359" s="23">
        <v>46052</v>
      </c>
      <c r="B359" s="18" t="s">
        <v>14</v>
      </c>
      <c r="C359" s="18" t="s">
        <v>20</v>
      </c>
      <c r="D359" s="18">
        <v>3524</v>
      </c>
      <c r="E359" s="18" t="s">
        <v>198</v>
      </c>
      <c r="F359" s="18">
        <v>509.3</v>
      </c>
      <c r="G359" s="18">
        <v>1500</v>
      </c>
      <c r="H359" s="18">
        <v>40</v>
      </c>
      <c r="I359" s="18">
        <v>1100</v>
      </c>
      <c r="J359" s="24">
        <f t="shared" si="13"/>
        <v>61100</v>
      </c>
      <c r="K359" s="27">
        <f t="shared" si="12"/>
        <v>3.337914784999018E-3</v>
      </c>
      <c r="L359" s="18">
        <v>1.7</v>
      </c>
      <c r="M359" s="18"/>
      <c r="N359" s="18"/>
      <c r="O359" s="18"/>
      <c r="P359" s="18"/>
    </row>
    <row r="360" spans="1:16" x14ac:dyDescent="0.2">
      <c r="A360" s="23">
        <v>46052</v>
      </c>
      <c r="B360" s="18" t="s">
        <v>14</v>
      </c>
      <c r="C360" s="18" t="s">
        <v>20</v>
      </c>
      <c r="D360" s="18">
        <v>3616</v>
      </c>
      <c r="E360" s="18" t="s">
        <v>567</v>
      </c>
      <c r="F360" s="18">
        <v>145.80000000000001</v>
      </c>
      <c r="G360" s="18">
        <v>600</v>
      </c>
      <c r="H360" s="18">
        <v>11</v>
      </c>
      <c r="I360" s="18"/>
      <c r="J360" s="24">
        <f t="shared" si="13"/>
        <v>6600</v>
      </c>
      <c r="K360" s="27">
        <f t="shared" si="12"/>
        <v>1.8518518518518517E-2</v>
      </c>
      <c r="L360" s="18">
        <v>2.7</v>
      </c>
      <c r="M360" s="18"/>
      <c r="N360" s="18"/>
      <c r="O360" s="18"/>
      <c r="P360" s="18"/>
    </row>
    <row r="361" spans="1:16" x14ac:dyDescent="0.2">
      <c r="A361" s="23">
        <v>46052</v>
      </c>
      <c r="B361" s="18" t="s">
        <v>14</v>
      </c>
      <c r="C361" s="18" t="s">
        <v>24</v>
      </c>
      <c r="D361" s="18">
        <v>3589</v>
      </c>
      <c r="E361" s="18" t="s">
        <v>483</v>
      </c>
      <c r="F361" s="18">
        <v>58.2</v>
      </c>
      <c r="G361" s="18">
        <v>6000</v>
      </c>
      <c r="H361" s="18">
        <v>3</v>
      </c>
      <c r="I361" s="18"/>
      <c r="J361" s="24">
        <f t="shared" si="13"/>
        <v>18000</v>
      </c>
      <c r="K361" s="27">
        <f t="shared" si="12"/>
        <v>1.7182130584192438E-2</v>
      </c>
      <c r="L361" s="18">
        <v>1</v>
      </c>
      <c r="M361" s="18"/>
      <c r="N361" s="18"/>
      <c r="O361" s="18"/>
      <c r="P361" s="18"/>
    </row>
    <row r="362" spans="1:16" x14ac:dyDescent="0.2">
      <c r="A362" s="23">
        <v>46052</v>
      </c>
      <c r="B362" s="18" t="s">
        <v>14</v>
      </c>
      <c r="C362" s="18" t="s">
        <v>24</v>
      </c>
      <c r="D362" s="18">
        <v>3595</v>
      </c>
      <c r="E362" s="18" t="s">
        <v>46</v>
      </c>
      <c r="F362" s="18">
        <v>829</v>
      </c>
      <c r="G362" s="18">
        <v>150</v>
      </c>
      <c r="H362" s="18">
        <v>103</v>
      </c>
      <c r="I362" s="18">
        <v>127</v>
      </c>
      <c r="J362" s="24">
        <f t="shared" si="13"/>
        <v>15577</v>
      </c>
      <c r="K362" s="27">
        <f t="shared" si="12"/>
        <v>9.0470446320868522E-3</v>
      </c>
      <c r="L362" s="18">
        <v>7.5</v>
      </c>
      <c r="M362" s="18"/>
      <c r="N362" s="18"/>
      <c r="O362" s="18"/>
      <c r="P362" s="18"/>
    </row>
    <row r="363" spans="1:16" x14ac:dyDescent="0.2">
      <c r="A363" s="23">
        <v>46052</v>
      </c>
      <c r="B363" s="18" t="s">
        <v>14</v>
      </c>
      <c r="C363" s="18" t="s">
        <v>27</v>
      </c>
      <c r="D363" s="18">
        <v>3429</v>
      </c>
      <c r="E363" s="18" t="s">
        <v>562</v>
      </c>
      <c r="F363" s="18">
        <v>71.400000000000006</v>
      </c>
      <c r="G363" s="18">
        <v>4200</v>
      </c>
      <c r="H363" s="18">
        <v>5</v>
      </c>
      <c r="I363" s="18">
        <v>4100</v>
      </c>
      <c r="J363" s="24">
        <f t="shared" si="13"/>
        <v>25100</v>
      </c>
      <c r="K363" s="27">
        <f t="shared" si="12"/>
        <v>5.3977272727272721E-2</v>
      </c>
      <c r="L363" s="18">
        <v>3.8</v>
      </c>
      <c r="M363" s="18"/>
      <c r="N363" s="18"/>
      <c r="O363" s="18">
        <v>1</v>
      </c>
      <c r="P363" s="18"/>
    </row>
    <row r="364" spans="1:16" x14ac:dyDescent="0.2">
      <c r="A364" s="23">
        <v>46052</v>
      </c>
      <c r="B364" s="18" t="s">
        <v>14</v>
      </c>
      <c r="C364" s="18" t="s">
        <v>27</v>
      </c>
      <c r="D364" s="18">
        <v>3365</v>
      </c>
      <c r="E364" s="18" t="s">
        <v>568</v>
      </c>
      <c r="F364" s="18">
        <v>122.5</v>
      </c>
      <c r="G364" s="18">
        <v>2000</v>
      </c>
      <c r="H364" s="18">
        <v>10</v>
      </c>
      <c r="I364" s="18">
        <v>1300</v>
      </c>
      <c r="J364" s="24">
        <f t="shared" si="13"/>
        <v>21300</v>
      </c>
      <c r="K364" s="27">
        <f t="shared" si="12"/>
        <v>1.3877551020408163E-2</v>
      </c>
      <c r="L364" s="18">
        <v>1.7</v>
      </c>
      <c r="M364" s="18"/>
      <c r="N364" s="18"/>
      <c r="O364" s="18"/>
      <c r="P364" s="18"/>
    </row>
    <row r="365" spans="1:16" x14ac:dyDescent="0.2">
      <c r="A365" s="23">
        <v>46052</v>
      </c>
      <c r="B365" s="18" t="s">
        <v>14</v>
      </c>
      <c r="C365" s="18" t="s">
        <v>27</v>
      </c>
      <c r="D365" s="18">
        <v>3532</v>
      </c>
      <c r="E365" s="18" t="s">
        <v>569</v>
      </c>
      <c r="F365" s="18"/>
      <c r="G365" s="18">
        <v>2000</v>
      </c>
      <c r="H365" s="18">
        <v>9</v>
      </c>
      <c r="I365" s="18"/>
      <c r="J365" s="24">
        <f t="shared" si="13"/>
        <v>18000</v>
      </c>
      <c r="K365" s="27">
        <f t="shared" si="12"/>
        <v>0</v>
      </c>
      <c r="L365" s="18">
        <v>1.1000000000000001</v>
      </c>
      <c r="M365" s="18"/>
      <c r="N365" s="18"/>
      <c r="O365" s="18"/>
      <c r="P365" s="18"/>
    </row>
    <row r="366" spans="1:16" x14ac:dyDescent="0.2">
      <c r="A366" s="23">
        <v>46053</v>
      </c>
      <c r="B366" s="18" t="s">
        <v>40</v>
      </c>
      <c r="C366" s="18" t="s">
        <v>24</v>
      </c>
      <c r="D366" s="18">
        <v>3589</v>
      </c>
      <c r="E366" s="18" t="s">
        <v>483</v>
      </c>
      <c r="F366" s="18"/>
      <c r="G366" s="18">
        <v>6000</v>
      </c>
      <c r="H366" s="18">
        <v>3</v>
      </c>
      <c r="I366" s="18">
        <v>1100</v>
      </c>
      <c r="J366" s="24">
        <f t="shared" si="13"/>
        <v>19100</v>
      </c>
      <c r="K366" s="27">
        <f t="shared" si="12"/>
        <v>0</v>
      </c>
      <c r="L366" s="18"/>
      <c r="M366" s="18"/>
      <c r="N366" s="18"/>
      <c r="O366" s="18"/>
      <c r="P366" s="18"/>
    </row>
    <row r="367" spans="1:16" x14ac:dyDescent="0.2">
      <c r="A367" s="23">
        <v>46053</v>
      </c>
      <c r="B367" s="18" t="s">
        <v>40</v>
      </c>
      <c r="C367" s="18" t="s">
        <v>24</v>
      </c>
      <c r="D367" s="18">
        <v>3588</v>
      </c>
      <c r="E367" s="18" t="s">
        <v>464</v>
      </c>
      <c r="F367" s="18">
        <v>95.2</v>
      </c>
      <c r="G367" s="18">
        <v>5000</v>
      </c>
      <c r="H367" s="18">
        <v>13</v>
      </c>
      <c r="I367" s="18"/>
      <c r="J367" s="24">
        <f t="shared" si="13"/>
        <v>65000</v>
      </c>
      <c r="K367" s="27">
        <f t="shared" si="12"/>
        <v>4.2016806722689074E-3</v>
      </c>
      <c r="L367" s="18">
        <v>0.4</v>
      </c>
      <c r="M367" s="18"/>
      <c r="N367" s="18"/>
      <c r="O367" s="18"/>
      <c r="P367" s="18"/>
    </row>
    <row r="368" spans="1:16" x14ac:dyDescent="0.2">
      <c r="A368" s="23">
        <v>46053</v>
      </c>
      <c r="B368" s="18" t="s">
        <v>40</v>
      </c>
      <c r="C368" s="18" t="s">
        <v>27</v>
      </c>
      <c r="D368" s="18">
        <v>3532</v>
      </c>
      <c r="E368" s="18" t="s">
        <v>569</v>
      </c>
      <c r="F368" s="18">
        <v>110</v>
      </c>
      <c r="G368" s="18">
        <v>2000</v>
      </c>
      <c r="H368" s="18">
        <v>22</v>
      </c>
      <c r="I368" s="18">
        <v>1000</v>
      </c>
      <c r="J368" s="24">
        <f t="shared" si="13"/>
        <v>45000</v>
      </c>
      <c r="K368" s="27">
        <f t="shared" si="12"/>
        <v>5.4545454545454541E-3</v>
      </c>
      <c r="L368" s="18">
        <v>0.6</v>
      </c>
      <c r="M368" s="18"/>
      <c r="N368" s="18"/>
      <c r="O368" s="18"/>
      <c r="P368" s="18"/>
    </row>
    <row r="369" spans="1:16" x14ac:dyDescent="0.2">
      <c r="A369" s="23">
        <v>46053</v>
      </c>
      <c r="B369" s="18" t="s">
        <v>40</v>
      </c>
      <c r="C369" s="18" t="s">
        <v>27</v>
      </c>
      <c r="D369" s="18">
        <v>3476</v>
      </c>
      <c r="E369" s="18" t="s">
        <v>570</v>
      </c>
      <c r="F369" s="18">
        <v>135.30000000000001</v>
      </c>
      <c r="G369" s="18">
        <v>800</v>
      </c>
      <c r="H369" s="18">
        <v>16</v>
      </c>
      <c r="I369" s="18"/>
      <c r="J369" s="24">
        <f t="shared" si="13"/>
        <v>12800</v>
      </c>
      <c r="K369" s="27">
        <f t="shared" si="12"/>
        <v>4.4345898004434581E-3</v>
      </c>
      <c r="L369" s="18">
        <v>0.6</v>
      </c>
      <c r="M369" s="18"/>
      <c r="N369" s="18"/>
      <c r="O369" s="18"/>
      <c r="P369" s="18"/>
    </row>
    <row r="370" spans="1:16" x14ac:dyDescent="0.2">
      <c r="A370" s="23">
        <v>46053</v>
      </c>
      <c r="B370" s="18" t="s">
        <v>40</v>
      </c>
      <c r="C370" s="18" t="s">
        <v>20</v>
      </c>
      <c r="D370" s="18">
        <v>3616</v>
      </c>
      <c r="E370" s="18" t="s">
        <v>567</v>
      </c>
      <c r="F370" s="18">
        <v>569.79999999999995</v>
      </c>
      <c r="G370" s="18">
        <v>600</v>
      </c>
      <c r="H370" s="18">
        <v>40</v>
      </c>
      <c r="I370" s="18"/>
      <c r="J370" s="24">
        <f t="shared" si="13"/>
        <v>24000</v>
      </c>
      <c r="K370" s="27">
        <f t="shared" si="12"/>
        <v>7.1955071955071958E-3</v>
      </c>
      <c r="L370" s="18">
        <v>4.0999999999999996</v>
      </c>
      <c r="M370" s="18"/>
      <c r="N370" s="18"/>
      <c r="O370" s="18"/>
      <c r="P370" s="18"/>
    </row>
    <row r="371" spans="1:16" x14ac:dyDescent="0.2">
      <c r="A371" s="23">
        <v>46053</v>
      </c>
      <c r="B371" s="18" t="s">
        <v>40</v>
      </c>
      <c r="C371" s="18" t="s">
        <v>15</v>
      </c>
      <c r="D371" s="18">
        <v>3606</v>
      </c>
      <c r="E371" s="18" t="s">
        <v>251</v>
      </c>
      <c r="F371" s="18">
        <v>232.3</v>
      </c>
      <c r="G371" s="18">
        <v>2000</v>
      </c>
      <c r="H371" s="18">
        <v>21</v>
      </c>
      <c r="I371" s="18">
        <v>1650</v>
      </c>
      <c r="J371" s="24">
        <f t="shared" si="13"/>
        <v>43650</v>
      </c>
      <c r="K371" s="27">
        <f t="shared" si="12"/>
        <v>6.0266896254842868E-3</v>
      </c>
      <c r="L371" s="18">
        <v>1.4</v>
      </c>
      <c r="M371" s="18"/>
      <c r="N371" s="18">
        <v>3.2</v>
      </c>
      <c r="O371" s="18"/>
      <c r="P371" s="18"/>
    </row>
    <row r="372" spans="1:16" x14ac:dyDescent="0.2">
      <c r="A372" s="23">
        <v>46053</v>
      </c>
      <c r="B372" s="18" t="s">
        <v>40</v>
      </c>
      <c r="C372" s="18" t="s">
        <v>15</v>
      </c>
      <c r="D372" s="18">
        <v>3674</v>
      </c>
      <c r="E372" s="18" t="s">
        <v>571</v>
      </c>
      <c r="F372" s="18">
        <v>280.39999999999998</v>
      </c>
      <c r="G372" s="18">
        <v>1000</v>
      </c>
      <c r="H372" s="18">
        <v>23</v>
      </c>
      <c r="I372" s="18"/>
      <c r="J372" s="24">
        <f t="shared" si="13"/>
        <v>23000</v>
      </c>
      <c r="K372" s="27">
        <f t="shared" si="12"/>
        <v>4.6362339514978606E-3</v>
      </c>
      <c r="L372" s="18">
        <v>1.3</v>
      </c>
      <c r="M372" s="18"/>
      <c r="N372" s="18"/>
      <c r="O372" s="18"/>
      <c r="P372" s="18"/>
    </row>
    <row r="373" spans="1:16" x14ac:dyDescent="0.2">
      <c r="A373" s="23">
        <v>46053</v>
      </c>
      <c r="B373" s="18" t="s">
        <v>40</v>
      </c>
      <c r="C373" s="18" t="s">
        <v>27</v>
      </c>
      <c r="D373" s="18">
        <v>3740</v>
      </c>
      <c r="E373" s="18" t="s">
        <v>572</v>
      </c>
      <c r="F373" s="18">
        <v>25</v>
      </c>
      <c r="G373" s="18">
        <v>1000</v>
      </c>
      <c r="H373" s="18">
        <v>2</v>
      </c>
      <c r="I373" s="18"/>
      <c r="J373" s="24">
        <f t="shared" si="13"/>
        <v>2000</v>
      </c>
      <c r="K373" s="27">
        <f t="shared" si="12"/>
        <v>4.8000000000000001E-2</v>
      </c>
      <c r="L373" s="18">
        <v>1.2</v>
      </c>
      <c r="M373" s="18"/>
      <c r="N373" s="18"/>
      <c r="O373" s="18"/>
      <c r="P373" s="18"/>
    </row>
    <row r="374" spans="1:16" x14ac:dyDescent="0.2">
      <c r="A374" s="23">
        <v>46053</v>
      </c>
      <c r="B374" s="18" t="s">
        <v>40</v>
      </c>
      <c r="C374" s="18" t="s">
        <v>33</v>
      </c>
      <c r="D374" s="18">
        <v>3285</v>
      </c>
      <c r="E374" s="18" t="s">
        <v>202</v>
      </c>
      <c r="F374" s="18">
        <v>418.4</v>
      </c>
      <c r="G374" s="18">
        <v>500</v>
      </c>
      <c r="H374" s="18">
        <v>38</v>
      </c>
      <c r="I374" s="18">
        <v>250</v>
      </c>
      <c r="J374" s="24">
        <f t="shared" si="13"/>
        <v>19250</v>
      </c>
      <c r="K374" s="27">
        <f t="shared" si="12"/>
        <v>1.4564440780434186E-2</v>
      </c>
      <c r="L374" s="18">
        <v>5.3</v>
      </c>
      <c r="M374" s="18">
        <v>9.3000000000000007</v>
      </c>
      <c r="N374" s="18"/>
      <c r="O374" s="18">
        <v>54.5</v>
      </c>
      <c r="P374" s="18"/>
    </row>
    <row r="375" spans="1:16" x14ac:dyDescent="0.2">
      <c r="A375" s="23">
        <v>46053</v>
      </c>
      <c r="B375" s="18" t="s">
        <v>40</v>
      </c>
      <c r="C375" s="18" t="s">
        <v>33</v>
      </c>
      <c r="D375" s="18">
        <v>3284</v>
      </c>
      <c r="E375" s="18" t="s">
        <v>66</v>
      </c>
      <c r="F375" s="18">
        <v>263</v>
      </c>
      <c r="G375" s="18">
        <v>500</v>
      </c>
      <c r="H375" s="18">
        <v>35</v>
      </c>
      <c r="I375" s="18"/>
      <c r="J375" s="24">
        <f t="shared" si="13"/>
        <v>17500</v>
      </c>
      <c r="K375" s="27">
        <f t="shared" si="12"/>
        <v>5.5841924398625431E-3</v>
      </c>
      <c r="L375" s="18">
        <v>1.3</v>
      </c>
      <c r="M375" s="18">
        <v>3.3</v>
      </c>
      <c r="N375" s="18"/>
      <c r="O375" s="18">
        <v>30.2</v>
      </c>
      <c r="P375" s="18"/>
    </row>
    <row r="376" spans="1:16" x14ac:dyDescent="0.2">
      <c r="A376" s="5"/>
      <c r="B376" s="5"/>
      <c r="C376" s="5"/>
      <c r="D376" s="5"/>
      <c r="E376" s="5"/>
      <c r="F376" s="5">
        <f t="shared" ref="F376" si="14">SUM(F2:F375)</f>
        <v>90383.500000000044</v>
      </c>
      <c r="G376" s="5"/>
      <c r="H376" s="5"/>
      <c r="I376" s="5"/>
      <c r="J376" s="5">
        <f>SUM(J2:J375)</f>
        <v>9125935</v>
      </c>
      <c r="K376" s="30">
        <f>L376/F376*100%</f>
        <v>1.2520537487483878E-2</v>
      </c>
      <c r="L376" s="5">
        <f>SUM(L36:L375)</f>
        <v>1131.6499999999996</v>
      </c>
      <c r="M376" s="5"/>
      <c r="N376" s="5"/>
      <c r="O376" s="5"/>
      <c r="P376" s="5"/>
    </row>
    <row r="378" spans="1:16" x14ac:dyDescent="0.2">
      <c r="B378" s="25" t="s">
        <v>14</v>
      </c>
      <c r="C378" s="25">
        <v>2938947</v>
      </c>
    </row>
    <row r="379" spans="1:16" x14ac:dyDescent="0.2">
      <c r="B379" s="25" t="s">
        <v>40</v>
      </c>
      <c r="C379" s="25">
        <v>3212423</v>
      </c>
    </row>
    <row r="380" spans="1:16" x14ac:dyDescent="0.2">
      <c r="B380" s="25" t="s">
        <v>54</v>
      </c>
      <c r="C380" s="25">
        <v>2974565</v>
      </c>
    </row>
  </sheetData>
  <autoFilter ref="A1:P376" xr:uid="{00000000-0001-0000-0000-000000000000}"/>
  <conditionalFormatting sqref="D2:D375">
    <cfRule type="duplicateValues" dxfId="11" priority="6"/>
  </conditionalFormatting>
  <conditionalFormatting sqref="D377:D4948">
    <cfRule type="duplicateValues" dxfId="10" priority="1"/>
  </conditionalFormatting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AFBC-A030-4F3D-9CD3-17631639D91C}">
  <sheetPr>
    <pageSetUpPr fitToPage="1"/>
  </sheetPr>
  <dimension ref="A1:P373"/>
  <sheetViews>
    <sheetView workbookViewId="0">
      <pane ySplit="1" topLeftCell="A348" activePane="bottomLeft" state="frozen"/>
      <selection activeCell="B1" sqref="B1"/>
      <selection pane="bottomLeft" activeCell="B1" sqref="B1"/>
    </sheetView>
  </sheetViews>
  <sheetFormatPr baseColWidth="10" defaultColWidth="8.83203125" defaultRowHeight="15" x14ac:dyDescent="0.2"/>
  <cols>
    <col min="2" max="2" width="11.6640625" bestFit="1" customWidth="1"/>
    <col min="3" max="3" width="9.6640625" customWidth="1"/>
    <col min="4" max="4" width="14.5" bestFit="1" customWidth="1"/>
    <col min="5" max="5" width="20.5" bestFit="1" customWidth="1"/>
    <col min="6" max="6" width="10.33203125" customWidth="1"/>
    <col min="7" max="7" width="11.1640625" customWidth="1"/>
    <col min="8" max="8" width="14.83203125" customWidth="1"/>
    <col min="12" max="12" width="10.33203125" bestFit="1" customWidth="1"/>
    <col min="13" max="13" width="11.33203125" bestFit="1" customWidth="1"/>
    <col min="15" max="15" width="10.33203125" bestFit="1" customWidth="1"/>
    <col min="16" max="16" width="33.6640625" bestFit="1" customWidth="1"/>
  </cols>
  <sheetData>
    <row r="1" spans="1:16" ht="48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391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392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ht="15" customHeight="1" x14ac:dyDescent="0.2">
      <c r="A2" s="4">
        <v>46054</v>
      </c>
      <c r="B2" s="1" t="s">
        <v>54</v>
      </c>
      <c r="C2" s="1" t="s">
        <v>33</v>
      </c>
      <c r="D2" s="1">
        <v>3284</v>
      </c>
      <c r="E2" s="1" t="s">
        <v>66</v>
      </c>
      <c r="F2" s="1">
        <v>148.5</v>
      </c>
      <c r="G2" s="1">
        <v>500</v>
      </c>
      <c r="H2" s="1">
        <v>20</v>
      </c>
      <c r="I2" s="1">
        <v>175</v>
      </c>
      <c r="J2" s="8">
        <f>G2*H2+I2</f>
        <v>10175</v>
      </c>
      <c r="K2" s="27">
        <f t="shared" ref="K2:K35" si="0">IFERROR(L2/(F2-O2)*100%,0)</f>
        <v>1.2927756653992395E-2</v>
      </c>
      <c r="L2" s="1">
        <v>1.7</v>
      </c>
      <c r="M2" s="1"/>
      <c r="N2" s="1"/>
      <c r="O2" s="1">
        <v>17</v>
      </c>
      <c r="P2" s="1"/>
    </row>
    <row r="3" spans="1:16" ht="15" customHeight="1" x14ac:dyDescent="0.2">
      <c r="A3" s="4">
        <v>46054</v>
      </c>
      <c r="B3" s="1" t="s">
        <v>54</v>
      </c>
      <c r="C3" s="1" t="s">
        <v>15</v>
      </c>
      <c r="D3" s="1">
        <v>3674</v>
      </c>
      <c r="E3" s="1" t="s">
        <v>571</v>
      </c>
      <c r="F3" s="1">
        <v>33.4</v>
      </c>
      <c r="G3" s="1">
        <v>1000</v>
      </c>
      <c r="H3" s="1">
        <v>3</v>
      </c>
      <c r="I3" s="1">
        <v>600</v>
      </c>
      <c r="J3" s="8">
        <f t="shared" ref="J3:J66" si="1">G3*H3+I3</f>
        <v>3600</v>
      </c>
      <c r="K3" s="27">
        <f t="shared" si="0"/>
        <v>1.1976047904191617E-2</v>
      </c>
      <c r="L3" s="1">
        <v>0.4</v>
      </c>
      <c r="M3" s="1"/>
      <c r="N3" s="1"/>
      <c r="O3" s="1"/>
      <c r="P3" s="1"/>
    </row>
    <row r="4" spans="1:16" ht="15" customHeight="1" x14ac:dyDescent="0.2">
      <c r="A4" s="4">
        <v>46054</v>
      </c>
      <c r="B4" s="1" t="s">
        <v>54</v>
      </c>
      <c r="C4" s="1" t="s">
        <v>20</v>
      </c>
      <c r="D4" s="1">
        <v>3616</v>
      </c>
      <c r="E4" s="1" t="s">
        <v>567</v>
      </c>
      <c r="F4" s="1">
        <v>549.1</v>
      </c>
      <c r="G4" s="1">
        <v>600</v>
      </c>
      <c r="H4" s="1">
        <v>38</v>
      </c>
      <c r="I4" s="1"/>
      <c r="J4" s="8">
        <f t="shared" si="1"/>
        <v>22800</v>
      </c>
      <c r="K4" s="27">
        <f t="shared" si="0"/>
        <v>1.2748133309051174E-2</v>
      </c>
      <c r="L4" s="1">
        <v>7</v>
      </c>
      <c r="M4" s="1"/>
      <c r="N4" s="1">
        <v>8</v>
      </c>
      <c r="O4" s="1"/>
      <c r="P4" s="1"/>
    </row>
    <row r="5" spans="1:16" ht="15" customHeight="1" x14ac:dyDescent="0.2">
      <c r="A5" s="4">
        <v>46054</v>
      </c>
      <c r="B5" s="1" t="s">
        <v>54</v>
      </c>
      <c r="C5" s="1" t="s">
        <v>24</v>
      </c>
      <c r="D5" s="1">
        <v>3588</v>
      </c>
      <c r="E5" s="1" t="s">
        <v>464</v>
      </c>
      <c r="F5" s="1">
        <v>45.6</v>
      </c>
      <c r="G5" s="1">
        <v>5000</v>
      </c>
      <c r="H5" s="1">
        <v>7</v>
      </c>
      <c r="I5" s="1">
        <v>1000</v>
      </c>
      <c r="J5" s="8">
        <f t="shared" si="1"/>
        <v>36000</v>
      </c>
      <c r="K5" s="27">
        <f t="shared" si="0"/>
        <v>2.1929824561403508E-3</v>
      </c>
      <c r="L5" s="1">
        <v>0.1</v>
      </c>
      <c r="M5" s="1"/>
      <c r="N5" s="1"/>
      <c r="O5" s="1"/>
      <c r="P5" s="1"/>
    </row>
    <row r="6" spans="1:16" ht="15" customHeight="1" x14ac:dyDescent="0.2">
      <c r="A6" s="4">
        <v>46054</v>
      </c>
      <c r="B6" s="1" t="s">
        <v>54</v>
      </c>
      <c r="C6" s="1" t="s">
        <v>27</v>
      </c>
      <c r="D6" s="1">
        <v>3476</v>
      </c>
      <c r="E6" s="1" t="s">
        <v>570</v>
      </c>
      <c r="F6" s="1">
        <v>375.9</v>
      </c>
      <c r="G6" s="1">
        <v>800</v>
      </c>
      <c r="H6" s="1">
        <v>32</v>
      </c>
      <c r="I6" s="1"/>
      <c r="J6" s="8">
        <f t="shared" si="1"/>
        <v>25600</v>
      </c>
      <c r="K6" s="27">
        <f t="shared" si="0"/>
        <v>5.3205639797818576E-3</v>
      </c>
      <c r="L6" s="1">
        <v>2</v>
      </c>
      <c r="M6" s="1"/>
      <c r="N6" s="1"/>
      <c r="O6" s="1"/>
      <c r="P6" s="1"/>
    </row>
    <row r="7" spans="1:16" ht="15" customHeight="1" x14ac:dyDescent="0.2">
      <c r="A7" s="4">
        <v>46054</v>
      </c>
      <c r="B7" s="1" t="s">
        <v>54</v>
      </c>
      <c r="C7" s="1" t="s">
        <v>15</v>
      </c>
      <c r="D7" s="1">
        <v>3602</v>
      </c>
      <c r="E7" s="1" t="s">
        <v>573</v>
      </c>
      <c r="F7" s="1">
        <v>162.69999999999999</v>
      </c>
      <c r="G7" s="1">
        <v>600</v>
      </c>
      <c r="H7" s="1">
        <v>14</v>
      </c>
      <c r="I7" s="1">
        <v>275</v>
      </c>
      <c r="J7" s="8">
        <f t="shared" si="1"/>
        <v>8675</v>
      </c>
      <c r="K7" s="27">
        <f t="shared" si="0"/>
        <v>6.7609096496619552E-3</v>
      </c>
      <c r="L7" s="1">
        <v>1.1000000000000001</v>
      </c>
      <c r="M7" s="1"/>
      <c r="N7" s="1"/>
      <c r="O7" s="1"/>
      <c r="P7" s="1"/>
    </row>
    <row r="8" spans="1:16" ht="15" customHeight="1" x14ac:dyDescent="0.2">
      <c r="A8" s="4">
        <v>46054</v>
      </c>
      <c r="B8" s="1" t="s">
        <v>54</v>
      </c>
      <c r="C8" s="1" t="s">
        <v>15</v>
      </c>
      <c r="D8" s="1">
        <v>3689</v>
      </c>
      <c r="E8" s="1" t="s">
        <v>249</v>
      </c>
      <c r="F8" s="1">
        <v>308.89999999999998</v>
      </c>
      <c r="G8" s="1">
        <v>1000</v>
      </c>
      <c r="H8" s="1">
        <v>21</v>
      </c>
      <c r="I8" s="1"/>
      <c r="J8" s="8">
        <f t="shared" si="1"/>
        <v>21000</v>
      </c>
      <c r="K8" s="27">
        <f t="shared" si="0"/>
        <v>1.2301715765619942E-2</v>
      </c>
      <c r="L8" s="1">
        <v>3.8</v>
      </c>
      <c r="M8" s="1"/>
      <c r="N8" s="1"/>
      <c r="O8" s="1"/>
      <c r="P8" s="1"/>
    </row>
    <row r="9" spans="1:16" ht="15" customHeight="1" x14ac:dyDescent="0.2">
      <c r="A9" s="4">
        <v>46054</v>
      </c>
      <c r="B9" s="1" t="s">
        <v>54</v>
      </c>
      <c r="C9" s="1" t="s">
        <v>33</v>
      </c>
      <c r="D9" s="1">
        <v>3283</v>
      </c>
      <c r="E9" s="1" t="s">
        <v>58</v>
      </c>
      <c r="F9" s="1">
        <v>1153.3</v>
      </c>
      <c r="G9" s="1">
        <v>500</v>
      </c>
      <c r="H9" s="1">
        <v>75</v>
      </c>
      <c r="I9" s="1"/>
      <c r="J9" s="8">
        <f t="shared" si="1"/>
        <v>37500</v>
      </c>
      <c r="K9" s="27">
        <f t="shared" si="0"/>
        <v>2.4491370166811303E-2</v>
      </c>
      <c r="L9" s="1">
        <v>25.4</v>
      </c>
      <c r="M9" s="1">
        <v>10.1</v>
      </c>
      <c r="N9" s="1"/>
      <c r="O9" s="1">
        <v>116.2</v>
      </c>
      <c r="P9" s="1"/>
    </row>
    <row r="10" spans="1:16" ht="15" customHeight="1" x14ac:dyDescent="0.2">
      <c r="A10" s="4">
        <v>46054</v>
      </c>
      <c r="B10" s="1" t="s">
        <v>54</v>
      </c>
      <c r="C10" s="1" t="s">
        <v>24</v>
      </c>
      <c r="D10" s="1">
        <v>3554</v>
      </c>
      <c r="E10" s="1" t="s">
        <v>574</v>
      </c>
      <c r="F10" s="1">
        <v>91.6</v>
      </c>
      <c r="G10" s="1">
        <v>7200</v>
      </c>
      <c r="H10" s="1">
        <v>5</v>
      </c>
      <c r="I10" s="1"/>
      <c r="J10" s="8">
        <f t="shared" si="1"/>
        <v>36000</v>
      </c>
      <c r="K10" s="27">
        <f t="shared" si="0"/>
        <v>3.2751091703056771E-3</v>
      </c>
      <c r="L10" s="1">
        <v>0.3</v>
      </c>
      <c r="M10" s="1"/>
      <c r="N10" s="1"/>
      <c r="O10" s="1"/>
      <c r="P10" s="1"/>
    </row>
    <row r="11" spans="1:16" ht="15" customHeight="1" x14ac:dyDescent="0.2">
      <c r="A11" s="4">
        <v>46054</v>
      </c>
      <c r="B11" s="1" t="s">
        <v>54</v>
      </c>
      <c r="C11" s="1" t="s">
        <v>33</v>
      </c>
      <c r="D11" s="1">
        <v>3348</v>
      </c>
      <c r="E11" s="1" t="s">
        <v>575</v>
      </c>
      <c r="F11" s="1">
        <v>215.7</v>
      </c>
      <c r="G11" s="1">
        <v>1000</v>
      </c>
      <c r="H11" s="1">
        <v>24</v>
      </c>
      <c r="I11" s="1"/>
      <c r="J11" s="8">
        <f t="shared" si="1"/>
        <v>24000</v>
      </c>
      <c r="K11" s="27">
        <f t="shared" si="0"/>
        <v>3.2381997804610325E-2</v>
      </c>
      <c r="L11" s="1">
        <v>5.9</v>
      </c>
      <c r="M11" s="1">
        <v>5.6</v>
      </c>
      <c r="N11" s="1"/>
      <c r="O11" s="1">
        <v>33.5</v>
      </c>
      <c r="P11" s="1"/>
    </row>
    <row r="12" spans="1:16" ht="15" customHeight="1" x14ac:dyDescent="0.2">
      <c r="A12" s="4">
        <v>46055</v>
      </c>
      <c r="B12" s="1" t="s">
        <v>14</v>
      </c>
      <c r="C12" s="1" t="s">
        <v>15</v>
      </c>
      <c r="D12" s="1">
        <v>3689</v>
      </c>
      <c r="E12" s="1" t="s">
        <v>249</v>
      </c>
      <c r="F12" s="1">
        <v>165.1</v>
      </c>
      <c r="G12" s="1">
        <v>1000</v>
      </c>
      <c r="H12" s="1">
        <v>10</v>
      </c>
      <c r="I12" s="1">
        <v>300</v>
      </c>
      <c r="J12" s="8">
        <f t="shared" si="1"/>
        <v>10300</v>
      </c>
      <c r="K12" s="27">
        <f t="shared" si="0"/>
        <v>9.6910963052695351E-3</v>
      </c>
      <c r="L12" s="1">
        <v>1.6</v>
      </c>
      <c r="M12" s="1"/>
      <c r="N12" s="1"/>
      <c r="O12" s="1"/>
      <c r="P12" s="1"/>
    </row>
    <row r="13" spans="1:16" ht="15" customHeight="1" x14ac:dyDescent="0.2">
      <c r="A13" s="4">
        <v>46055</v>
      </c>
      <c r="B13" s="1" t="s">
        <v>14</v>
      </c>
      <c r="C13" s="1" t="s">
        <v>15</v>
      </c>
      <c r="D13" s="1">
        <v>3397</v>
      </c>
      <c r="E13" s="1" t="s">
        <v>309</v>
      </c>
      <c r="F13" s="1">
        <v>90.3</v>
      </c>
      <c r="G13" s="1">
        <v>5000</v>
      </c>
      <c r="H13" s="1">
        <v>7</v>
      </c>
      <c r="I13" s="1"/>
      <c r="J13" s="8">
        <f t="shared" si="1"/>
        <v>35000</v>
      </c>
      <c r="K13" s="27">
        <f t="shared" si="0"/>
        <v>0</v>
      </c>
      <c r="L13" s="1"/>
      <c r="M13" s="1">
        <v>3.8</v>
      </c>
      <c r="N13" s="1"/>
      <c r="O13" s="1"/>
      <c r="P13" s="1"/>
    </row>
    <row r="14" spans="1:16" ht="15" customHeight="1" x14ac:dyDescent="0.2">
      <c r="A14" s="4">
        <v>46055</v>
      </c>
      <c r="B14" s="1" t="s">
        <v>14</v>
      </c>
      <c r="C14" s="1" t="s">
        <v>20</v>
      </c>
      <c r="D14" s="1">
        <v>3616</v>
      </c>
      <c r="E14" s="1" t="s">
        <v>567</v>
      </c>
      <c r="F14" s="1">
        <v>596</v>
      </c>
      <c r="G14" s="1">
        <v>600</v>
      </c>
      <c r="H14" s="1">
        <v>46</v>
      </c>
      <c r="I14" s="1"/>
      <c r="J14" s="8">
        <f t="shared" si="1"/>
        <v>27600</v>
      </c>
      <c r="K14" s="27">
        <f t="shared" si="0"/>
        <v>1.0570469798657717E-2</v>
      </c>
      <c r="L14" s="1">
        <v>6.3</v>
      </c>
      <c r="M14" s="1"/>
      <c r="N14" s="1"/>
      <c r="O14" s="1"/>
      <c r="P14" s="1"/>
    </row>
    <row r="15" spans="1:16" ht="15" customHeight="1" x14ac:dyDescent="0.2">
      <c r="A15" s="4">
        <v>46055</v>
      </c>
      <c r="B15" s="1" t="s">
        <v>14</v>
      </c>
      <c r="C15" s="1" t="s">
        <v>24</v>
      </c>
      <c r="D15" s="1">
        <v>3554</v>
      </c>
      <c r="E15" s="1" t="s">
        <v>574</v>
      </c>
      <c r="F15" s="1">
        <v>154.80000000000001</v>
      </c>
      <c r="G15" s="1">
        <v>5000</v>
      </c>
      <c r="H15" s="1">
        <v>12</v>
      </c>
      <c r="I15" s="1"/>
      <c r="J15" s="8">
        <f t="shared" si="1"/>
        <v>60000</v>
      </c>
      <c r="K15" s="27">
        <f t="shared" si="0"/>
        <v>2.1963824289405683E-2</v>
      </c>
      <c r="L15" s="1">
        <v>3.4</v>
      </c>
      <c r="M15" s="1"/>
      <c r="N15" s="1"/>
      <c r="O15" s="1"/>
      <c r="P15" s="1"/>
    </row>
    <row r="16" spans="1:16" ht="15" customHeight="1" x14ac:dyDescent="0.2">
      <c r="A16" s="4">
        <v>46055</v>
      </c>
      <c r="B16" s="1" t="s">
        <v>14</v>
      </c>
      <c r="C16" s="1" t="s">
        <v>27</v>
      </c>
      <c r="D16" s="1" t="s">
        <v>576</v>
      </c>
      <c r="E16" s="1" t="s">
        <v>577</v>
      </c>
      <c r="F16" s="1"/>
      <c r="G16" s="1">
        <v>1000</v>
      </c>
      <c r="H16" s="1">
        <v>1</v>
      </c>
      <c r="I16" s="1"/>
      <c r="J16" s="8">
        <f t="shared" si="1"/>
        <v>1000</v>
      </c>
      <c r="K16" s="27">
        <f t="shared" si="0"/>
        <v>0</v>
      </c>
      <c r="L16" s="1">
        <v>1.3</v>
      </c>
      <c r="M16" s="1"/>
      <c r="N16" s="1"/>
      <c r="O16" s="1"/>
      <c r="P16" s="1"/>
    </row>
    <row r="17" spans="1:16" ht="15" customHeight="1" x14ac:dyDescent="0.2">
      <c r="A17" s="4">
        <v>46055</v>
      </c>
      <c r="B17" s="1" t="s">
        <v>14</v>
      </c>
      <c r="C17" s="1" t="s">
        <v>27</v>
      </c>
      <c r="D17" s="1">
        <v>3476</v>
      </c>
      <c r="E17" s="1" t="s">
        <v>570</v>
      </c>
      <c r="F17" s="1">
        <v>149.9</v>
      </c>
      <c r="G17" s="1">
        <v>800</v>
      </c>
      <c r="H17" s="1">
        <v>17</v>
      </c>
      <c r="I17" s="1">
        <v>600</v>
      </c>
      <c r="J17" s="8">
        <f t="shared" si="1"/>
        <v>14200</v>
      </c>
      <c r="K17" s="27">
        <f t="shared" si="0"/>
        <v>1.4009339559706471E-2</v>
      </c>
      <c r="L17" s="1">
        <v>2.1</v>
      </c>
      <c r="M17" s="1"/>
      <c r="N17" s="1"/>
      <c r="O17" s="1"/>
      <c r="P17" s="1"/>
    </row>
    <row r="18" spans="1:16" ht="15" customHeight="1" x14ac:dyDescent="0.2">
      <c r="A18" s="4">
        <v>46055</v>
      </c>
      <c r="B18" s="1" t="s">
        <v>14</v>
      </c>
      <c r="C18" s="1" t="s">
        <v>27</v>
      </c>
      <c r="D18" s="1">
        <v>3632</v>
      </c>
      <c r="E18" s="1" t="s">
        <v>426</v>
      </c>
      <c r="F18" s="1">
        <v>53.8</v>
      </c>
      <c r="G18" s="1">
        <v>1000</v>
      </c>
      <c r="H18" s="1">
        <v>6</v>
      </c>
      <c r="I18" s="1"/>
      <c r="J18" s="8">
        <f t="shared" si="1"/>
        <v>6000</v>
      </c>
      <c r="K18" s="27">
        <f t="shared" si="0"/>
        <v>5.5762081784386614E-3</v>
      </c>
      <c r="L18" s="1">
        <v>0.3</v>
      </c>
      <c r="M18" s="1"/>
      <c r="N18" s="1"/>
      <c r="O18" s="1"/>
      <c r="P18" s="1"/>
    </row>
    <row r="19" spans="1:16" ht="15" customHeight="1" x14ac:dyDescent="0.2">
      <c r="A19" s="4">
        <v>46055</v>
      </c>
      <c r="B19" s="1" t="s">
        <v>14</v>
      </c>
      <c r="C19" s="1" t="s">
        <v>33</v>
      </c>
      <c r="D19" s="1">
        <v>3348</v>
      </c>
      <c r="E19" s="1" t="s">
        <v>575</v>
      </c>
      <c r="F19" s="1">
        <v>271.89999999999998</v>
      </c>
      <c r="G19" s="1">
        <v>1000</v>
      </c>
      <c r="H19" s="1">
        <v>26</v>
      </c>
      <c r="I19" s="1"/>
      <c r="J19" s="8">
        <f t="shared" si="1"/>
        <v>26000</v>
      </c>
      <c r="K19" s="27">
        <f t="shared" si="0"/>
        <v>0</v>
      </c>
      <c r="L19" s="1"/>
      <c r="M19" s="1">
        <v>5.6</v>
      </c>
      <c r="N19" s="1"/>
      <c r="O19" s="1">
        <v>37.5</v>
      </c>
      <c r="P19" s="1"/>
    </row>
    <row r="20" spans="1:16" ht="15" customHeight="1" x14ac:dyDescent="0.2">
      <c r="A20" s="4">
        <v>46055</v>
      </c>
      <c r="B20" s="1" t="s">
        <v>14</v>
      </c>
      <c r="C20" s="1" t="s">
        <v>33</v>
      </c>
      <c r="D20" s="1">
        <v>3315</v>
      </c>
      <c r="E20" s="1" t="s">
        <v>161</v>
      </c>
      <c r="F20" s="1">
        <v>1017.7</v>
      </c>
      <c r="G20" s="1">
        <v>500</v>
      </c>
      <c r="H20" s="1">
        <v>96</v>
      </c>
      <c r="I20" s="1"/>
      <c r="J20" s="8">
        <f t="shared" si="1"/>
        <v>48000</v>
      </c>
      <c r="K20" s="27">
        <f t="shared" si="0"/>
        <v>7.390562819783968E-3</v>
      </c>
      <c r="L20" s="1">
        <v>6.5</v>
      </c>
      <c r="M20" s="1">
        <v>19.7</v>
      </c>
      <c r="N20" s="1"/>
      <c r="O20" s="1">
        <v>138.19999999999999</v>
      </c>
      <c r="P20" s="1"/>
    </row>
    <row r="21" spans="1:16" ht="15" customHeight="1" x14ac:dyDescent="0.2">
      <c r="A21" s="4">
        <v>46056</v>
      </c>
      <c r="B21" s="1" t="s">
        <v>40</v>
      </c>
      <c r="C21" s="1" t="s">
        <v>15</v>
      </c>
      <c r="D21" s="1">
        <v>3397</v>
      </c>
      <c r="E21" s="1" t="s">
        <v>309</v>
      </c>
      <c r="F21" s="1">
        <v>45</v>
      </c>
      <c r="G21" s="1">
        <v>5000</v>
      </c>
      <c r="H21" s="1">
        <v>4</v>
      </c>
      <c r="I21" s="1">
        <v>2500</v>
      </c>
      <c r="J21" s="8">
        <f t="shared" si="1"/>
        <v>22500</v>
      </c>
      <c r="K21" s="27">
        <f t="shared" si="0"/>
        <v>2.6666666666666665E-2</v>
      </c>
      <c r="L21" s="1">
        <v>1.2</v>
      </c>
      <c r="M21" s="1">
        <v>1.5</v>
      </c>
      <c r="N21" s="1"/>
      <c r="O21" s="1"/>
      <c r="P21" s="1"/>
    </row>
    <row r="22" spans="1:16" ht="15" customHeight="1" x14ac:dyDescent="0.2">
      <c r="A22" s="4">
        <v>46056</v>
      </c>
      <c r="B22" s="1" t="s">
        <v>40</v>
      </c>
      <c r="C22" s="1" t="s">
        <v>15</v>
      </c>
      <c r="D22" s="1">
        <v>3717</v>
      </c>
      <c r="E22" s="1" t="s">
        <v>578</v>
      </c>
      <c r="F22" s="1">
        <v>170</v>
      </c>
      <c r="G22" s="1">
        <v>400</v>
      </c>
      <c r="H22" s="1">
        <v>11</v>
      </c>
      <c r="I22" s="1"/>
      <c r="J22" s="8">
        <f t="shared" si="1"/>
        <v>4400</v>
      </c>
      <c r="K22" s="27">
        <f t="shared" si="0"/>
        <v>8.8235294117647058E-3</v>
      </c>
      <c r="L22" s="1">
        <v>1.5</v>
      </c>
      <c r="M22" s="1"/>
      <c r="N22" s="1"/>
      <c r="O22" s="1"/>
      <c r="P22" s="1" t="s">
        <v>579</v>
      </c>
    </row>
    <row r="23" spans="1:16" ht="15" customHeight="1" x14ac:dyDescent="0.2">
      <c r="A23" s="4">
        <v>46056</v>
      </c>
      <c r="B23" s="1" t="s">
        <v>40</v>
      </c>
      <c r="C23" s="1" t="s">
        <v>20</v>
      </c>
      <c r="D23" s="1">
        <v>3616</v>
      </c>
      <c r="E23" s="1" t="s">
        <v>567</v>
      </c>
      <c r="F23" s="1">
        <v>257.89999999999998</v>
      </c>
      <c r="G23" s="1">
        <v>600</v>
      </c>
      <c r="H23" s="1">
        <v>19</v>
      </c>
      <c r="I23" s="1">
        <v>150</v>
      </c>
      <c r="J23" s="8">
        <f t="shared" si="1"/>
        <v>11550</v>
      </c>
      <c r="K23" s="27">
        <f t="shared" si="0"/>
        <v>1.5122140364482358E-2</v>
      </c>
      <c r="L23" s="1">
        <v>3.9</v>
      </c>
      <c r="M23" s="1"/>
      <c r="N23" s="1"/>
      <c r="O23" s="1"/>
      <c r="P23" s="1"/>
    </row>
    <row r="24" spans="1:16" x14ac:dyDescent="0.2">
      <c r="A24" s="4">
        <v>46056</v>
      </c>
      <c r="B24" s="1" t="s">
        <v>40</v>
      </c>
      <c r="C24" s="1" t="s">
        <v>20</v>
      </c>
      <c r="D24" s="1">
        <v>3442</v>
      </c>
      <c r="E24" s="1" t="s">
        <v>318</v>
      </c>
      <c r="F24" s="1">
        <v>289.8</v>
      </c>
      <c r="G24" s="1">
        <v>1000</v>
      </c>
      <c r="H24" s="1">
        <v>28</v>
      </c>
      <c r="I24" s="1"/>
      <c r="J24" s="8">
        <f t="shared" si="1"/>
        <v>28000</v>
      </c>
      <c r="K24" s="27">
        <f t="shared" si="0"/>
        <v>7.9365079365079361E-3</v>
      </c>
      <c r="L24" s="1">
        <v>2.2999999999999998</v>
      </c>
      <c r="M24" s="1"/>
      <c r="N24" s="1"/>
      <c r="O24" s="1"/>
      <c r="P24" s="1"/>
    </row>
    <row r="25" spans="1:16" x14ac:dyDescent="0.2">
      <c r="A25" s="4">
        <v>46056</v>
      </c>
      <c r="B25" s="1" t="s">
        <v>40</v>
      </c>
      <c r="C25" s="1" t="s">
        <v>24</v>
      </c>
      <c r="D25" s="1">
        <v>3554</v>
      </c>
      <c r="E25" s="1" t="s">
        <v>574</v>
      </c>
      <c r="F25" s="1">
        <v>40.6</v>
      </c>
      <c r="G25" s="1">
        <v>5000</v>
      </c>
      <c r="H25" s="1">
        <v>5</v>
      </c>
      <c r="I25" s="1">
        <v>4560</v>
      </c>
      <c r="J25" s="8">
        <f t="shared" si="1"/>
        <v>29560</v>
      </c>
      <c r="K25" s="27">
        <f t="shared" si="0"/>
        <v>0</v>
      </c>
      <c r="L25" s="1"/>
      <c r="M25" s="1"/>
      <c r="N25" s="1"/>
      <c r="O25" s="1"/>
      <c r="P25" s="1"/>
    </row>
    <row r="26" spans="1:16" x14ac:dyDescent="0.2">
      <c r="A26" s="4">
        <v>46056</v>
      </c>
      <c r="B26" s="1" t="s">
        <v>40</v>
      </c>
      <c r="C26" s="1" t="s">
        <v>27</v>
      </c>
      <c r="D26" s="1">
        <v>3632</v>
      </c>
      <c r="E26" s="1" t="s">
        <v>426</v>
      </c>
      <c r="F26" s="1">
        <v>107.2</v>
      </c>
      <c r="G26" s="1">
        <v>1000</v>
      </c>
      <c r="H26" s="1">
        <v>10</v>
      </c>
      <c r="I26" s="1"/>
      <c r="J26" s="8">
        <f t="shared" si="1"/>
        <v>10000</v>
      </c>
      <c r="K26" s="27">
        <f t="shared" si="0"/>
        <v>9.3283582089552231E-3</v>
      </c>
      <c r="L26" s="1">
        <v>1</v>
      </c>
      <c r="M26" s="1"/>
      <c r="N26" s="1"/>
      <c r="O26" s="1"/>
      <c r="P26" s="1"/>
    </row>
    <row r="27" spans="1:16" x14ac:dyDescent="0.2">
      <c r="A27" s="4">
        <v>46056</v>
      </c>
      <c r="B27" s="1" t="s">
        <v>40</v>
      </c>
      <c r="C27" s="1" t="s">
        <v>27</v>
      </c>
      <c r="D27" s="1">
        <v>3406</v>
      </c>
      <c r="E27" s="1" t="s">
        <v>235</v>
      </c>
      <c r="F27" s="1">
        <v>177.5</v>
      </c>
      <c r="G27" s="1">
        <v>2500</v>
      </c>
      <c r="H27" s="1">
        <v>15</v>
      </c>
      <c r="I27" s="1">
        <v>1500</v>
      </c>
      <c r="J27" s="8">
        <f t="shared" si="1"/>
        <v>39000</v>
      </c>
      <c r="K27" s="27">
        <f t="shared" si="0"/>
        <v>7.8873239436619714E-3</v>
      </c>
      <c r="L27" s="1">
        <v>1.4</v>
      </c>
      <c r="M27" s="1">
        <v>1.4</v>
      </c>
      <c r="N27" s="1"/>
      <c r="O27" s="1"/>
      <c r="P27" s="1"/>
    </row>
    <row r="28" spans="1:16" ht="15" customHeight="1" x14ac:dyDescent="0.2">
      <c r="A28" s="4">
        <v>46056</v>
      </c>
      <c r="B28" s="1" t="s">
        <v>40</v>
      </c>
      <c r="C28" s="1" t="s">
        <v>33</v>
      </c>
      <c r="D28" s="1">
        <v>3315</v>
      </c>
      <c r="E28" s="1" t="s">
        <v>161</v>
      </c>
      <c r="F28" s="1">
        <v>1180.2</v>
      </c>
      <c r="G28" s="1">
        <v>500</v>
      </c>
      <c r="H28" s="1">
        <v>105</v>
      </c>
      <c r="I28" s="1">
        <v>235</v>
      </c>
      <c r="J28" s="8">
        <f t="shared" si="1"/>
        <v>52735</v>
      </c>
      <c r="K28" s="27">
        <f t="shared" si="0"/>
        <v>9.8154691794267758E-3</v>
      </c>
      <c r="L28" s="1">
        <v>10</v>
      </c>
      <c r="M28" s="1">
        <v>14.7</v>
      </c>
      <c r="N28" s="1">
        <v>4.8</v>
      </c>
      <c r="O28" s="1">
        <v>161.4</v>
      </c>
      <c r="P28" s="1"/>
    </row>
    <row r="29" spans="1:16" x14ac:dyDescent="0.2">
      <c r="A29" s="4">
        <v>46056</v>
      </c>
      <c r="B29" s="1" t="s">
        <v>40</v>
      </c>
      <c r="C29" s="1" t="s">
        <v>33</v>
      </c>
      <c r="D29" s="1">
        <v>3594</v>
      </c>
      <c r="E29" s="1" t="s">
        <v>580</v>
      </c>
      <c r="F29" s="1">
        <v>94.6</v>
      </c>
      <c r="G29" s="1">
        <v>500</v>
      </c>
      <c r="H29" s="1">
        <v>9</v>
      </c>
      <c r="I29" s="1">
        <v>200</v>
      </c>
      <c r="J29" s="8">
        <f t="shared" si="1"/>
        <v>4700</v>
      </c>
      <c r="K29" s="27">
        <f t="shared" si="0"/>
        <v>1.4336917562724016E-2</v>
      </c>
      <c r="L29" s="1">
        <v>1.2</v>
      </c>
      <c r="M29" s="1">
        <v>3.5</v>
      </c>
      <c r="N29" s="1"/>
      <c r="O29" s="1">
        <v>10.9</v>
      </c>
      <c r="P29" s="1"/>
    </row>
    <row r="30" spans="1:16" x14ac:dyDescent="0.2">
      <c r="A30" s="4">
        <v>46056</v>
      </c>
      <c r="B30" s="1" t="s">
        <v>40</v>
      </c>
      <c r="C30" s="1" t="s">
        <v>33</v>
      </c>
      <c r="D30" s="1">
        <v>3559</v>
      </c>
      <c r="E30" s="1" t="s">
        <v>581</v>
      </c>
      <c r="F30" s="1">
        <v>164.8</v>
      </c>
      <c r="G30" s="1">
        <v>500</v>
      </c>
      <c r="H30" s="1">
        <v>12</v>
      </c>
      <c r="I30" s="1"/>
      <c r="J30" s="8">
        <f t="shared" si="1"/>
        <v>6000</v>
      </c>
      <c r="K30" s="27">
        <f t="shared" si="0"/>
        <v>4.4537230340988165E-2</v>
      </c>
      <c r="L30" s="1">
        <v>6.4</v>
      </c>
      <c r="M30" s="1"/>
      <c r="N30" s="1"/>
      <c r="O30" s="1">
        <v>21.1</v>
      </c>
      <c r="P30" s="1"/>
    </row>
    <row r="31" spans="1:16" x14ac:dyDescent="0.2">
      <c r="A31" s="4">
        <v>46056</v>
      </c>
      <c r="B31" s="1" t="s">
        <v>40</v>
      </c>
      <c r="C31" s="1" t="s">
        <v>24</v>
      </c>
      <c r="D31" s="1">
        <v>3484</v>
      </c>
      <c r="E31" s="1" t="s">
        <v>302</v>
      </c>
      <c r="F31" s="1">
        <v>341.3</v>
      </c>
      <c r="G31" s="1">
        <v>500</v>
      </c>
      <c r="H31" s="1">
        <v>22</v>
      </c>
      <c r="I31" s="1">
        <v>300</v>
      </c>
      <c r="J31" s="8">
        <f t="shared" si="1"/>
        <v>11300</v>
      </c>
      <c r="K31" s="27">
        <f t="shared" si="0"/>
        <v>1.4063873425139173E-2</v>
      </c>
      <c r="L31" s="1">
        <v>4.8</v>
      </c>
      <c r="M31" s="1">
        <v>7</v>
      </c>
      <c r="N31" s="1">
        <v>2.8</v>
      </c>
      <c r="O31" s="1"/>
      <c r="P31" s="1"/>
    </row>
    <row r="32" spans="1:16" x14ac:dyDescent="0.2">
      <c r="A32" s="4">
        <v>46056</v>
      </c>
      <c r="B32" s="1" t="s">
        <v>40</v>
      </c>
      <c r="C32" s="1" t="s">
        <v>24</v>
      </c>
      <c r="D32" s="1">
        <v>3605</v>
      </c>
      <c r="E32" s="1" t="s">
        <v>468</v>
      </c>
      <c r="F32" s="1"/>
      <c r="G32" s="1">
        <v>1000</v>
      </c>
      <c r="H32" s="1">
        <v>3</v>
      </c>
      <c r="I32" s="1"/>
      <c r="J32" s="8">
        <f t="shared" si="1"/>
        <v>3000</v>
      </c>
      <c r="K32" s="27">
        <f t="shared" si="0"/>
        <v>0</v>
      </c>
      <c r="L32" s="1"/>
      <c r="M32" s="1"/>
      <c r="N32" s="1"/>
      <c r="O32" s="1"/>
      <c r="P32" s="1"/>
    </row>
    <row r="33" spans="1:16" x14ac:dyDescent="0.2">
      <c r="A33" s="4">
        <v>46056</v>
      </c>
      <c r="B33" s="1" t="s">
        <v>40</v>
      </c>
      <c r="C33" s="1" t="s">
        <v>15</v>
      </c>
      <c r="D33" s="1">
        <v>3487</v>
      </c>
      <c r="E33" s="1" t="s">
        <v>582</v>
      </c>
      <c r="F33" s="1">
        <v>319.10000000000002</v>
      </c>
      <c r="G33" s="1">
        <v>1000</v>
      </c>
      <c r="H33" s="1">
        <v>37</v>
      </c>
      <c r="I33" s="1"/>
      <c r="J33" s="8">
        <f t="shared" si="1"/>
        <v>37000</v>
      </c>
      <c r="K33" s="27">
        <f t="shared" si="0"/>
        <v>6.581009088060169E-3</v>
      </c>
      <c r="L33" s="1">
        <v>2.1</v>
      </c>
      <c r="M33" s="1">
        <v>4.5999999999999996</v>
      </c>
      <c r="N33" s="1"/>
      <c r="O33" s="1"/>
      <c r="P33" s="1"/>
    </row>
    <row r="34" spans="1:16" x14ac:dyDescent="0.2">
      <c r="A34" s="4">
        <v>46056</v>
      </c>
      <c r="B34" s="1" t="s">
        <v>40</v>
      </c>
      <c r="C34" s="1" t="s">
        <v>15</v>
      </c>
      <c r="D34" s="1">
        <v>3488</v>
      </c>
      <c r="E34" s="1" t="s">
        <v>583</v>
      </c>
      <c r="F34" s="1">
        <v>52</v>
      </c>
      <c r="G34" s="1">
        <v>2000</v>
      </c>
      <c r="H34" s="1">
        <v>4</v>
      </c>
      <c r="I34" s="1"/>
      <c r="J34" s="8">
        <f t="shared" si="1"/>
        <v>8000</v>
      </c>
      <c r="K34" s="27">
        <f t="shared" si="0"/>
        <v>9.6153846153846159E-3</v>
      </c>
      <c r="L34" s="1">
        <v>0.5</v>
      </c>
      <c r="M34" s="1"/>
      <c r="N34" s="1"/>
      <c r="O34" s="1"/>
      <c r="P34" s="1"/>
    </row>
    <row r="35" spans="1:16" x14ac:dyDescent="0.2">
      <c r="A35" s="4">
        <v>46057</v>
      </c>
      <c r="B35" s="1" t="s">
        <v>54</v>
      </c>
      <c r="C35" s="1" t="s">
        <v>15</v>
      </c>
      <c r="D35" s="1">
        <v>3488</v>
      </c>
      <c r="E35" s="1" t="s">
        <v>583</v>
      </c>
      <c r="F35" s="1">
        <v>131</v>
      </c>
      <c r="G35" s="1">
        <v>2000</v>
      </c>
      <c r="H35" s="1">
        <v>13</v>
      </c>
      <c r="I35" s="1">
        <v>980</v>
      </c>
      <c r="J35" s="8">
        <f t="shared" si="1"/>
        <v>26980</v>
      </c>
      <c r="K35" s="27">
        <f t="shared" si="0"/>
        <v>4.5801526717557254E-3</v>
      </c>
      <c r="L35" s="1">
        <v>0.6</v>
      </c>
      <c r="M35" s="1"/>
      <c r="N35" s="1"/>
      <c r="O35" s="1"/>
      <c r="P35" s="1"/>
    </row>
    <row r="36" spans="1:16" x14ac:dyDescent="0.2">
      <c r="A36" s="4">
        <v>46057</v>
      </c>
      <c r="B36" s="1" t="s">
        <v>54</v>
      </c>
      <c r="C36" s="1" t="s">
        <v>20</v>
      </c>
      <c r="D36" s="1">
        <v>3442</v>
      </c>
      <c r="E36" s="1" t="s">
        <v>318</v>
      </c>
      <c r="F36" s="1">
        <v>235.7</v>
      </c>
      <c r="G36" s="1">
        <v>1000</v>
      </c>
      <c r="H36" s="1">
        <v>24</v>
      </c>
      <c r="I36" s="1">
        <v>350</v>
      </c>
      <c r="J36" s="8">
        <f t="shared" si="1"/>
        <v>24350</v>
      </c>
      <c r="K36" s="27">
        <f>IFERROR(L36/(F36-O36)*100%,0)</f>
        <v>1.1455239711497667E-2</v>
      </c>
      <c r="L36" s="1">
        <v>2.7</v>
      </c>
      <c r="M36" s="1"/>
      <c r="N36" s="1"/>
      <c r="O36" s="1"/>
      <c r="P36" s="1"/>
    </row>
    <row r="37" spans="1:16" x14ac:dyDescent="0.2">
      <c r="A37" s="4">
        <v>46057</v>
      </c>
      <c r="B37" s="1" t="s">
        <v>54</v>
      </c>
      <c r="C37" s="1" t="s">
        <v>33</v>
      </c>
      <c r="D37" s="1">
        <v>3559</v>
      </c>
      <c r="E37" s="1" t="s">
        <v>581</v>
      </c>
      <c r="F37" s="1">
        <v>291.39999999999998</v>
      </c>
      <c r="G37" s="1">
        <v>500</v>
      </c>
      <c r="H37" s="1">
        <v>25</v>
      </c>
      <c r="I37" s="1">
        <v>200</v>
      </c>
      <c r="J37" s="8">
        <f t="shared" si="1"/>
        <v>12700</v>
      </c>
      <c r="K37" s="27">
        <f t="shared" ref="K37:K99" si="2">IFERROR(L37/(F37-O37)*100%,0)</f>
        <v>4.246794871794872E-2</v>
      </c>
      <c r="L37" s="1">
        <v>10.6</v>
      </c>
      <c r="M37" s="1"/>
      <c r="N37" s="1"/>
      <c r="O37" s="1">
        <v>41.8</v>
      </c>
      <c r="P37" s="1"/>
    </row>
    <row r="38" spans="1:16" x14ac:dyDescent="0.2">
      <c r="A38" s="4">
        <v>46057</v>
      </c>
      <c r="B38" s="1" t="s">
        <v>54</v>
      </c>
      <c r="C38" s="1" t="s">
        <v>24</v>
      </c>
      <c r="D38" s="1">
        <v>3605</v>
      </c>
      <c r="E38" s="1" t="s">
        <v>468</v>
      </c>
      <c r="F38" s="1">
        <v>282.8</v>
      </c>
      <c r="G38" s="1">
        <v>1000</v>
      </c>
      <c r="H38" s="1">
        <v>49</v>
      </c>
      <c r="I38" s="1">
        <v>700</v>
      </c>
      <c r="J38" s="8">
        <f t="shared" si="1"/>
        <v>49700</v>
      </c>
      <c r="K38" s="27">
        <f t="shared" si="2"/>
        <v>5.3041018387553042E-3</v>
      </c>
      <c r="L38" s="1">
        <v>1.5</v>
      </c>
      <c r="M38" s="1"/>
      <c r="N38" s="1">
        <v>0.9</v>
      </c>
      <c r="O38" s="1"/>
      <c r="P38" s="1"/>
    </row>
    <row r="39" spans="1:16" x14ac:dyDescent="0.2">
      <c r="A39" s="4">
        <v>46057</v>
      </c>
      <c r="B39" s="1" t="s">
        <v>54</v>
      </c>
      <c r="C39" s="1" t="s">
        <v>27</v>
      </c>
      <c r="D39" s="1">
        <v>3632</v>
      </c>
      <c r="E39" s="1" t="s">
        <v>426</v>
      </c>
      <c r="F39" s="1">
        <v>67.5</v>
      </c>
      <c r="G39" s="1">
        <v>1000</v>
      </c>
      <c r="H39" s="1">
        <v>3</v>
      </c>
      <c r="I39" s="1">
        <v>500</v>
      </c>
      <c r="J39" s="8">
        <f t="shared" si="1"/>
        <v>3500</v>
      </c>
      <c r="K39" s="27">
        <f t="shared" si="2"/>
        <v>0</v>
      </c>
      <c r="L39" s="1"/>
      <c r="M39" s="1"/>
      <c r="N39" s="1"/>
      <c r="O39" s="1"/>
      <c r="P39" s="1"/>
    </row>
    <row r="40" spans="1:16" x14ac:dyDescent="0.2">
      <c r="A40" s="4">
        <v>46057</v>
      </c>
      <c r="B40" s="1" t="s">
        <v>54</v>
      </c>
      <c r="C40" s="1" t="s">
        <v>27</v>
      </c>
      <c r="D40" s="1">
        <v>3585</v>
      </c>
      <c r="E40" s="1" t="s">
        <v>325</v>
      </c>
      <c r="F40" s="1">
        <v>188.8</v>
      </c>
      <c r="G40" s="1">
        <v>4000</v>
      </c>
      <c r="H40" s="1">
        <v>30</v>
      </c>
      <c r="I40" s="1"/>
      <c r="J40" s="8">
        <f t="shared" si="1"/>
        <v>120000</v>
      </c>
      <c r="K40" s="27">
        <f t="shared" si="2"/>
        <v>1.2182203389830507E-2</v>
      </c>
      <c r="L40" s="1">
        <v>2.2999999999999998</v>
      </c>
      <c r="M40" s="1"/>
      <c r="N40" s="1"/>
      <c r="O40" s="1"/>
      <c r="P40" s="1"/>
    </row>
    <row r="41" spans="1:16" x14ac:dyDescent="0.2">
      <c r="A41" s="4">
        <v>46057</v>
      </c>
      <c r="B41" s="1" t="s">
        <v>54</v>
      </c>
      <c r="C41" s="1" t="s">
        <v>15</v>
      </c>
      <c r="D41" s="1">
        <v>3705</v>
      </c>
      <c r="E41" s="1" t="s">
        <v>176</v>
      </c>
      <c r="F41" s="1"/>
      <c r="G41" s="1">
        <v>1000</v>
      </c>
      <c r="H41" s="1">
        <v>5</v>
      </c>
      <c r="I41" s="1"/>
      <c r="J41" s="8">
        <f t="shared" si="1"/>
        <v>5000</v>
      </c>
      <c r="K41" s="27">
        <f t="shared" si="2"/>
        <v>0</v>
      </c>
      <c r="L41" s="1">
        <v>2.2999999999999998</v>
      </c>
      <c r="M41" s="1"/>
      <c r="N41" s="1">
        <v>4.7</v>
      </c>
      <c r="O41" s="1"/>
      <c r="P41" s="1"/>
    </row>
    <row r="42" spans="1:16" x14ac:dyDescent="0.2">
      <c r="A42" s="4">
        <v>46057</v>
      </c>
      <c r="B42" s="1" t="s">
        <v>54</v>
      </c>
      <c r="C42" s="1" t="s">
        <v>15</v>
      </c>
      <c r="D42" s="1">
        <v>3579</v>
      </c>
      <c r="E42" s="1" t="s">
        <v>172</v>
      </c>
      <c r="F42" s="1">
        <v>211.8</v>
      </c>
      <c r="G42" s="1">
        <v>1000</v>
      </c>
      <c r="H42" s="1">
        <v>26</v>
      </c>
      <c r="I42" s="1">
        <v>290</v>
      </c>
      <c r="J42" s="8">
        <f t="shared" si="1"/>
        <v>26290</v>
      </c>
      <c r="K42" s="27">
        <f t="shared" si="2"/>
        <v>0</v>
      </c>
      <c r="L42" s="1"/>
      <c r="M42" s="1"/>
      <c r="N42" s="1"/>
      <c r="O42" s="1"/>
      <c r="P42" s="1"/>
    </row>
    <row r="43" spans="1:16" x14ac:dyDescent="0.2">
      <c r="A43" s="4">
        <v>46057</v>
      </c>
      <c r="B43" s="1" t="s">
        <v>54</v>
      </c>
      <c r="C43" s="1" t="s">
        <v>33</v>
      </c>
      <c r="D43" s="1">
        <v>3660</v>
      </c>
      <c r="E43" s="1" t="s">
        <v>342</v>
      </c>
      <c r="F43" s="1">
        <v>190.1</v>
      </c>
      <c r="G43" s="1">
        <v>1500</v>
      </c>
      <c r="H43" s="1">
        <v>15</v>
      </c>
      <c r="I43" s="1">
        <v>1100</v>
      </c>
      <c r="J43" s="8">
        <f t="shared" si="1"/>
        <v>23600</v>
      </c>
      <c r="K43" s="27">
        <f t="shared" si="2"/>
        <v>5.3444180522565317E-3</v>
      </c>
      <c r="L43" s="1">
        <v>0.9</v>
      </c>
      <c r="M43" s="1"/>
      <c r="N43" s="1"/>
      <c r="O43" s="1">
        <v>21.7</v>
      </c>
      <c r="P43" s="1"/>
    </row>
    <row r="44" spans="1:16" x14ac:dyDescent="0.2">
      <c r="A44" s="4">
        <v>46057</v>
      </c>
      <c r="B44" s="1" t="s">
        <v>54</v>
      </c>
      <c r="C44" s="1" t="s">
        <v>33</v>
      </c>
      <c r="D44" s="1">
        <v>3389</v>
      </c>
      <c r="E44" s="1" t="s">
        <v>584</v>
      </c>
      <c r="F44" s="1">
        <v>551.1</v>
      </c>
      <c r="G44" s="1">
        <v>500</v>
      </c>
      <c r="H44" s="1">
        <v>45</v>
      </c>
      <c r="I44" s="1"/>
      <c r="J44" s="8">
        <f t="shared" si="1"/>
        <v>22500</v>
      </c>
      <c r="K44" s="27">
        <f t="shared" si="2"/>
        <v>6.7715594503087026E-3</v>
      </c>
      <c r="L44" s="1">
        <v>3.4</v>
      </c>
      <c r="M44" s="1">
        <v>4.9000000000000004</v>
      </c>
      <c r="N44" s="1"/>
      <c r="O44" s="1">
        <v>49</v>
      </c>
      <c r="P44" s="1"/>
    </row>
    <row r="45" spans="1:16" x14ac:dyDescent="0.2">
      <c r="A45" s="4">
        <v>46057</v>
      </c>
      <c r="B45" s="1" t="s">
        <v>54</v>
      </c>
      <c r="C45" s="1" t="s">
        <v>20</v>
      </c>
      <c r="D45" s="1">
        <v>3530</v>
      </c>
      <c r="E45" s="1" t="s">
        <v>158</v>
      </c>
      <c r="F45" s="1">
        <v>331.4</v>
      </c>
      <c r="G45" s="1">
        <v>300</v>
      </c>
      <c r="H45" s="1">
        <v>22</v>
      </c>
      <c r="I45" s="1"/>
      <c r="J45" s="8">
        <f t="shared" si="1"/>
        <v>6600</v>
      </c>
      <c r="K45" s="27">
        <f t="shared" si="2"/>
        <v>2.4140012070006038E-2</v>
      </c>
      <c r="L45" s="1">
        <v>8</v>
      </c>
      <c r="M45" s="1"/>
      <c r="N45" s="1"/>
      <c r="O45" s="1"/>
      <c r="P45" s="1"/>
    </row>
    <row r="46" spans="1:16" x14ac:dyDescent="0.2">
      <c r="A46" s="4">
        <v>46057</v>
      </c>
      <c r="B46" s="1" t="s">
        <v>54</v>
      </c>
      <c r="C46" s="1" t="s">
        <v>15</v>
      </c>
      <c r="D46" s="1">
        <v>3396</v>
      </c>
      <c r="E46" s="1" t="s">
        <v>585</v>
      </c>
      <c r="F46" s="1">
        <v>253.2</v>
      </c>
      <c r="G46" s="1">
        <v>500</v>
      </c>
      <c r="H46" s="1">
        <v>22</v>
      </c>
      <c r="I46" s="1">
        <v>300</v>
      </c>
      <c r="J46" s="8">
        <f t="shared" si="1"/>
        <v>11300</v>
      </c>
      <c r="K46" s="27">
        <f t="shared" si="2"/>
        <v>3.5545023696682464E-2</v>
      </c>
      <c r="L46" s="1">
        <v>9</v>
      </c>
      <c r="M46" s="1"/>
      <c r="N46" s="1"/>
      <c r="O46" s="1"/>
      <c r="P46" s="1"/>
    </row>
    <row r="47" spans="1:16" x14ac:dyDescent="0.2">
      <c r="A47" s="4">
        <v>46057</v>
      </c>
      <c r="B47" s="1" t="s">
        <v>54</v>
      </c>
      <c r="C47" s="1" t="s">
        <v>20</v>
      </c>
      <c r="D47" s="1">
        <v>3330</v>
      </c>
      <c r="E47" s="1" t="s">
        <v>43</v>
      </c>
      <c r="F47" s="1">
        <v>74</v>
      </c>
      <c r="G47" s="1">
        <v>2000</v>
      </c>
      <c r="H47" s="1">
        <v>9</v>
      </c>
      <c r="I47" s="1">
        <v>2200</v>
      </c>
      <c r="J47" s="8">
        <f t="shared" si="1"/>
        <v>20200</v>
      </c>
      <c r="K47" s="27">
        <f t="shared" si="2"/>
        <v>9.4594594594594582E-3</v>
      </c>
      <c r="L47" s="1">
        <v>0.7</v>
      </c>
      <c r="M47" s="1"/>
      <c r="N47" s="1"/>
      <c r="O47" s="1"/>
      <c r="P47" s="1"/>
    </row>
    <row r="48" spans="1:16" x14ac:dyDescent="0.2">
      <c r="A48" s="4">
        <v>46057</v>
      </c>
      <c r="B48" s="1" t="s">
        <v>54</v>
      </c>
      <c r="C48" s="1" t="s">
        <v>20</v>
      </c>
      <c r="D48" s="1">
        <v>3531</v>
      </c>
      <c r="E48" s="1" t="s">
        <v>586</v>
      </c>
      <c r="F48" s="1"/>
      <c r="G48" s="1">
        <v>500</v>
      </c>
      <c r="H48" s="1">
        <v>2</v>
      </c>
      <c r="I48" s="1"/>
      <c r="J48" s="8">
        <f t="shared" si="1"/>
        <v>1000</v>
      </c>
      <c r="K48" s="27">
        <f t="shared" si="2"/>
        <v>0</v>
      </c>
      <c r="L48" s="1">
        <v>4</v>
      </c>
      <c r="M48" s="1"/>
      <c r="N48" s="1"/>
      <c r="O48" s="1"/>
      <c r="P48" s="1"/>
    </row>
    <row r="49" spans="1:16" x14ac:dyDescent="0.2">
      <c r="A49" s="4">
        <v>46057</v>
      </c>
      <c r="B49" s="1" t="s">
        <v>54</v>
      </c>
      <c r="C49" s="1" t="s">
        <v>20</v>
      </c>
      <c r="D49" s="1">
        <v>3718</v>
      </c>
      <c r="E49" s="1" t="s">
        <v>587</v>
      </c>
      <c r="F49" s="1">
        <v>103</v>
      </c>
      <c r="G49" s="1">
        <v>300</v>
      </c>
      <c r="H49" s="1">
        <v>9</v>
      </c>
      <c r="I49" s="1">
        <v>400</v>
      </c>
      <c r="J49" s="8">
        <f t="shared" si="1"/>
        <v>3100</v>
      </c>
      <c r="K49" s="27">
        <f t="shared" si="2"/>
        <v>1.4563106796116505E-2</v>
      </c>
      <c r="L49" s="1">
        <v>1.5</v>
      </c>
      <c r="M49" s="1"/>
      <c r="N49" s="1"/>
      <c r="O49" s="1"/>
      <c r="P49" s="1"/>
    </row>
    <row r="50" spans="1:16" x14ac:dyDescent="0.2">
      <c r="A50" s="4">
        <v>46057</v>
      </c>
      <c r="B50" s="1" t="s">
        <v>54</v>
      </c>
      <c r="C50" s="1" t="s">
        <v>15</v>
      </c>
      <c r="D50" s="1">
        <v>3607</v>
      </c>
      <c r="E50" s="1" t="s">
        <v>282</v>
      </c>
      <c r="F50" s="1"/>
      <c r="G50" s="1">
        <v>4800</v>
      </c>
      <c r="H50" s="1">
        <v>4</v>
      </c>
      <c r="I50" s="1"/>
      <c r="J50" s="8">
        <f t="shared" si="1"/>
        <v>19200</v>
      </c>
      <c r="K50" s="27">
        <f t="shared" si="2"/>
        <v>0</v>
      </c>
      <c r="L50" s="1">
        <v>4</v>
      </c>
      <c r="M50" s="1"/>
      <c r="N50" s="1"/>
      <c r="O50" s="1"/>
      <c r="P50" s="1"/>
    </row>
    <row r="51" spans="1:16" x14ac:dyDescent="0.2">
      <c r="A51" s="4">
        <v>46057</v>
      </c>
      <c r="B51" s="1" t="s">
        <v>54</v>
      </c>
      <c r="C51" s="1" t="s">
        <v>33</v>
      </c>
      <c r="D51" s="1">
        <v>3388</v>
      </c>
      <c r="E51" s="1" t="s">
        <v>588</v>
      </c>
      <c r="F51" s="1">
        <v>315.89999999999998</v>
      </c>
      <c r="G51" s="1">
        <v>1000</v>
      </c>
      <c r="H51" s="1">
        <v>22</v>
      </c>
      <c r="I51" s="1"/>
      <c r="J51" s="8">
        <f t="shared" si="1"/>
        <v>22000</v>
      </c>
      <c r="K51" s="27">
        <f t="shared" si="2"/>
        <v>1.0611956137247967E-2</v>
      </c>
      <c r="L51" s="1">
        <v>3</v>
      </c>
      <c r="M51" s="1">
        <v>2.6</v>
      </c>
      <c r="N51" s="1"/>
      <c r="O51" s="1">
        <v>33.200000000000003</v>
      </c>
      <c r="P51" s="1"/>
    </row>
    <row r="52" spans="1:16" x14ac:dyDescent="0.2">
      <c r="A52" s="4">
        <v>46057</v>
      </c>
      <c r="B52" s="1" t="s">
        <v>54</v>
      </c>
      <c r="C52" s="1" t="s">
        <v>24</v>
      </c>
      <c r="D52" s="1">
        <v>3684</v>
      </c>
      <c r="E52" s="1" t="s">
        <v>220</v>
      </c>
      <c r="F52" s="1">
        <v>106</v>
      </c>
      <c r="G52" s="1">
        <v>2400</v>
      </c>
      <c r="H52" s="1">
        <v>14</v>
      </c>
      <c r="I52" s="1"/>
      <c r="J52" s="8">
        <f t="shared" si="1"/>
        <v>33600</v>
      </c>
      <c r="K52" s="27">
        <f t="shared" si="2"/>
        <v>4.7169811320754715E-3</v>
      </c>
      <c r="L52" s="1">
        <v>0.5</v>
      </c>
      <c r="M52" s="1"/>
      <c r="N52" s="1"/>
      <c r="O52" s="1"/>
      <c r="P52" s="1"/>
    </row>
    <row r="53" spans="1:16" x14ac:dyDescent="0.2">
      <c r="A53" s="4">
        <v>46058</v>
      </c>
      <c r="B53" s="1" t="s">
        <v>14</v>
      </c>
      <c r="C53" s="1" t="s">
        <v>15</v>
      </c>
      <c r="D53" s="1">
        <v>3607</v>
      </c>
      <c r="E53" s="1" t="s">
        <v>282</v>
      </c>
      <c r="F53" s="1">
        <v>523.6</v>
      </c>
      <c r="G53" s="1">
        <v>4800</v>
      </c>
      <c r="H53" s="1">
        <v>54</v>
      </c>
      <c r="I53" s="1"/>
      <c r="J53" s="8">
        <f t="shared" si="1"/>
        <v>259200</v>
      </c>
      <c r="K53" s="27">
        <f t="shared" si="2"/>
        <v>2.4446142093200916E-2</v>
      </c>
      <c r="L53" s="1">
        <v>12.8</v>
      </c>
      <c r="M53" s="1"/>
      <c r="N53" s="1"/>
      <c r="O53" s="1"/>
      <c r="P53" s="1"/>
    </row>
    <row r="54" spans="1:16" x14ac:dyDescent="0.2">
      <c r="A54" s="4">
        <v>46058</v>
      </c>
      <c r="B54" s="1" t="s">
        <v>14</v>
      </c>
      <c r="C54" s="1" t="s">
        <v>20</v>
      </c>
      <c r="D54" s="1">
        <v>3530</v>
      </c>
      <c r="E54" s="1" t="s">
        <v>158</v>
      </c>
      <c r="F54" s="1">
        <v>1144</v>
      </c>
      <c r="G54" s="1">
        <v>300</v>
      </c>
      <c r="H54" s="1">
        <v>77</v>
      </c>
      <c r="I54" s="1">
        <v>180</v>
      </c>
      <c r="J54" s="8">
        <f t="shared" si="1"/>
        <v>23280</v>
      </c>
      <c r="K54" s="27">
        <f t="shared" si="2"/>
        <v>3.8461538461538464E-3</v>
      </c>
      <c r="L54" s="1">
        <v>4.4000000000000004</v>
      </c>
      <c r="M54" s="1"/>
      <c r="N54" s="1"/>
      <c r="O54" s="1"/>
      <c r="P54" s="1"/>
    </row>
    <row r="55" spans="1:16" x14ac:dyDescent="0.2">
      <c r="A55" s="4">
        <v>46058</v>
      </c>
      <c r="B55" s="1" t="s">
        <v>14</v>
      </c>
      <c r="C55" s="1" t="s">
        <v>20</v>
      </c>
      <c r="D55" s="1">
        <v>3679</v>
      </c>
      <c r="E55" s="1" t="s">
        <v>589</v>
      </c>
      <c r="F55" s="1">
        <v>225.7</v>
      </c>
      <c r="G55" s="1">
        <v>150</v>
      </c>
      <c r="H55" s="1">
        <v>19</v>
      </c>
      <c r="I55" s="1"/>
      <c r="J55" s="8">
        <f t="shared" si="1"/>
        <v>2850</v>
      </c>
      <c r="K55" s="27">
        <f t="shared" si="2"/>
        <v>1.0190518387239698E-2</v>
      </c>
      <c r="L55" s="1">
        <v>2.2999999999999998</v>
      </c>
      <c r="M55" s="1"/>
      <c r="N55" s="1"/>
      <c r="O55" s="1"/>
      <c r="P55" s="1"/>
    </row>
    <row r="56" spans="1:16" x14ac:dyDescent="0.2">
      <c r="A56" s="4">
        <v>46058</v>
      </c>
      <c r="B56" s="1" t="s">
        <v>14</v>
      </c>
      <c r="C56" s="1" t="s">
        <v>24</v>
      </c>
      <c r="D56" s="1">
        <v>3684</v>
      </c>
      <c r="E56" s="1" t="s">
        <v>220</v>
      </c>
      <c r="F56" s="1">
        <v>106</v>
      </c>
      <c r="G56" s="1">
        <v>2400</v>
      </c>
      <c r="H56" s="1">
        <v>12</v>
      </c>
      <c r="I56" s="1">
        <v>950</v>
      </c>
      <c r="J56" s="8">
        <f t="shared" si="1"/>
        <v>29750</v>
      </c>
      <c r="K56" s="27">
        <f t="shared" si="2"/>
        <v>8.4905660377358489E-3</v>
      </c>
      <c r="L56" s="1">
        <v>0.9</v>
      </c>
      <c r="M56" s="1"/>
      <c r="N56" s="1"/>
      <c r="O56" s="1"/>
      <c r="P56" s="1"/>
    </row>
    <row r="57" spans="1:16" x14ac:dyDescent="0.2">
      <c r="A57" s="4">
        <v>46058</v>
      </c>
      <c r="B57" s="1" t="s">
        <v>14</v>
      </c>
      <c r="C57" s="1" t="s">
        <v>24</v>
      </c>
      <c r="D57" s="1">
        <v>3688</v>
      </c>
      <c r="E57" s="1" t="s">
        <v>504</v>
      </c>
      <c r="F57" s="1">
        <v>53</v>
      </c>
      <c r="G57" s="1">
        <v>2000</v>
      </c>
      <c r="H57" s="1">
        <v>5</v>
      </c>
      <c r="I57" s="1">
        <v>1800</v>
      </c>
      <c r="J57" s="8">
        <f t="shared" si="1"/>
        <v>11800</v>
      </c>
      <c r="K57" s="27">
        <f t="shared" si="2"/>
        <v>0</v>
      </c>
      <c r="L57" s="1"/>
      <c r="M57" s="1"/>
      <c r="N57" s="1"/>
      <c r="O57" s="1"/>
      <c r="P57" s="1"/>
    </row>
    <row r="58" spans="1:16" x14ac:dyDescent="0.2">
      <c r="A58" s="4">
        <v>46058</v>
      </c>
      <c r="B58" s="1" t="s">
        <v>14</v>
      </c>
      <c r="C58" s="1" t="s">
        <v>24</v>
      </c>
      <c r="D58" s="1">
        <v>3686</v>
      </c>
      <c r="E58" s="1" t="s">
        <v>590</v>
      </c>
      <c r="F58" s="1">
        <v>33</v>
      </c>
      <c r="G58" s="1">
        <v>2000</v>
      </c>
      <c r="H58" s="1">
        <v>6</v>
      </c>
      <c r="I58" s="1"/>
      <c r="J58" s="8">
        <f t="shared" si="1"/>
        <v>12000</v>
      </c>
      <c r="K58" s="27">
        <f t="shared" si="2"/>
        <v>0</v>
      </c>
      <c r="L58" s="1"/>
      <c r="M58" s="1"/>
      <c r="N58" s="1"/>
      <c r="O58" s="1"/>
      <c r="P58" s="1"/>
    </row>
    <row r="59" spans="1:16" x14ac:dyDescent="0.2">
      <c r="A59" s="4">
        <v>46058</v>
      </c>
      <c r="B59" s="1" t="s">
        <v>14</v>
      </c>
      <c r="C59" s="1" t="s">
        <v>24</v>
      </c>
      <c r="D59" s="1">
        <v>3687</v>
      </c>
      <c r="E59" s="1" t="s">
        <v>505</v>
      </c>
      <c r="F59" s="1">
        <v>222</v>
      </c>
      <c r="G59" s="1">
        <v>1000</v>
      </c>
      <c r="H59" s="1">
        <v>35</v>
      </c>
      <c r="I59" s="1"/>
      <c r="J59" s="8">
        <f t="shared" si="1"/>
        <v>35000</v>
      </c>
      <c r="K59" s="27">
        <f t="shared" si="2"/>
        <v>4.5045045045045045E-3</v>
      </c>
      <c r="L59" s="1">
        <v>1</v>
      </c>
      <c r="M59" s="1"/>
      <c r="N59" s="1"/>
      <c r="O59" s="1"/>
      <c r="P59" s="1"/>
    </row>
    <row r="60" spans="1:16" x14ac:dyDescent="0.2">
      <c r="A60" s="4">
        <v>46058</v>
      </c>
      <c r="B60" s="1" t="s">
        <v>14</v>
      </c>
      <c r="C60" s="1" t="s">
        <v>24</v>
      </c>
      <c r="D60" s="1">
        <v>3346</v>
      </c>
      <c r="E60" s="1" t="s">
        <v>591</v>
      </c>
      <c r="F60" s="1">
        <v>50.8</v>
      </c>
      <c r="G60" s="1">
        <v>500</v>
      </c>
      <c r="H60" s="1">
        <v>8</v>
      </c>
      <c r="I60" s="1"/>
      <c r="J60" s="8">
        <f t="shared" si="1"/>
        <v>4000</v>
      </c>
      <c r="K60" s="27">
        <f t="shared" si="2"/>
        <v>0</v>
      </c>
      <c r="L60" s="1"/>
      <c r="M60" s="1"/>
      <c r="N60" s="1"/>
      <c r="O60" s="1"/>
      <c r="P60" s="1"/>
    </row>
    <row r="61" spans="1:16" x14ac:dyDescent="0.2">
      <c r="A61" s="4">
        <v>46058</v>
      </c>
      <c r="B61" s="1" t="s">
        <v>14</v>
      </c>
      <c r="C61" s="1" t="s">
        <v>27</v>
      </c>
      <c r="D61" s="1">
        <v>3585</v>
      </c>
      <c r="E61" s="1" t="s">
        <v>325</v>
      </c>
      <c r="F61" s="1"/>
      <c r="G61" s="1"/>
      <c r="H61" s="1"/>
      <c r="I61" s="1">
        <v>2400</v>
      </c>
      <c r="J61" s="8">
        <f t="shared" si="1"/>
        <v>2400</v>
      </c>
      <c r="K61" s="27">
        <f t="shared" si="2"/>
        <v>0</v>
      </c>
      <c r="L61" s="1"/>
      <c r="M61" s="1"/>
      <c r="N61" s="1"/>
      <c r="O61" s="1"/>
      <c r="P61" s="1"/>
    </row>
    <row r="62" spans="1:16" x14ac:dyDescent="0.2">
      <c r="A62" s="4">
        <v>46058</v>
      </c>
      <c r="B62" s="1" t="s">
        <v>14</v>
      </c>
      <c r="C62" s="1" t="s">
        <v>27</v>
      </c>
      <c r="D62" s="1">
        <v>3358</v>
      </c>
      <c r="E62" s="1" t="s">
        <v>63</v>
      </c>
      <c r="F62" s="1">
        <v>119.4</v>
      </c>
      <c r="G62" s="1">
        <v>2000</v>
      </c>
      <c r="H62" s="1">
        <v>10</v>
      </c>
      <c r="I62" s="1">
        <v>1650</v>
      </c>
      <c r="J62" s="8">
        <f t="shared" si="1"/>
        <v>21650</v>
      </c>
      <c r="K62" s="27">
        <f t="shared" si="2"/>
        <v>1.6295025728987993E-2</v>
      </c>
      <c r="L62" s="1">
        <v>1.9</v>
      </c>
      <c r="M62" s="1"/>
      <c r="N62" s="1"/>
      <c r="O62" s="1">
        <v>2.8</v>
      </c>
      <c r="P62" s="1"/>
    </row>
    <row r="63" spans="1:16" x14ac:dyDescent="0.2">
      <c r="A63" s="4">
        <v>46058</v>
      </c>
      <c r="B63" s="1" t="s">
        <v>14</v>
      </c>
      <c r="C63" s="1" t="s">
        <v>27</v>
      </c>
      <c r="D63" s="1">
        <v>3586</v>
      </c>
      <c r="E63" s="1" t="s">
        <v>592</v>
      </c>
      <c r="F63" s="1">
        <v>131.5</v>
      </c>
      <c r="G63" s="1">
        <v>3600</v>
      </c>
      <c r="H63" s="1">
        <v>16</v>
      </c>
      <c r="I63" s="1"/>
      <c r="J63" s="8">
        <f t="shared" si="1"/>
        <v>57600</v>
      </c>
      <c r="K63" s="27">
        <f t="shared" si="2"/>
        <v>0</v>
      </c>
      <c r="L63" s="1"/>
      <c r="M63" s="1"/>
      <c r="N63" s="1">
        <v>26.5</v>
      </c>
      <c r="O63" s="1"/>
      <c r="P63" s="1"/>
    </row>
    <row r="64" spans="1:16" x14ac:dyDescent="0.2">
      <c r="A64" s="4">
        <v>46058</v>
      </c>
      <c r="B64" s="1" t="s">
        <v>14</v>
      </c>
      <c r="C64" s="1" t="s">
        <v>33</v>
      </c>
      <c r="D64" s="1">
        <v>3388</v>
      </c>
      <c r="E64" s="1" t="s">
        <v>588</v>
      </c>
      <c r="F64" s="1">
        <v>47.8</v>
      </c>
      <c r="G64" s="1">
        <v>1000</v>
      </c>
      <c r="H64" s="1">
        <v>4</v>
      </c>
      <c r="I64" s="1">
        <v>500</v>
      </c>
      <c r="J64" s="8">
        <f t="shared" si="1"/>
        <v>4500</v>
      </c>
      <c r="K64" s="27">
        <f t="shared" si="2"/>
        <v>3.8997214484679667E-2</v>
      </c>
      <c r="L64" s="1">
        <v>1.4</v>
      </c>
      <c r="M64" s="1">
        <v>1.5</v>
      </c>
      <c r="N64" s="1"/>
      <c r="O64" s="1">
        <v>11.9</v>
      </c>
      <c r="P64" s="1"/>
    </row>
    <row r="65" spans="1:16" x14ac:dyDescent="0.2">
      <c r="A65" s="4">
        <v>46058</v>
      </c>
      <c r="B65" s="1" t="s">
        <v>14</v>
      </c>
      <c r="C65" s="1" t="s">
        <v>33</v>
      </c>
      <c r="D65" s="1">
        <v>3352</v>
      </c>
      <c r="E65" s="1" t="s">
        <v>593</v>
      </c>
      <c r="F65" s="1">
        <v>394.2</v>
      </c>
      <c r="G65" s="1">
        <v>700</v>
      </c>
      <c r="H65" s="1">
        <v>68</v>
      </c>
      <c r="I65" s="1">
        <v>580</v>
      </c>
      <c r="J65" s="8">
        <f t="shared" si="1"/>
        <v>48180</v>
      </c>
      <c r="K65" s="27">
        <f t="shared" si="2"/>
        <v>2.0132297958009777E-3</v>
      </c>
      <c r="L65" s="1">
        <v>0.7</v>
      </c>
      <c r="M65" s="1">
        <v>6.1</v>
      </c>
      <c r="N65" s="1"/>
      <c r="O65" s="1">
        <v>46.5</v>
      </c>
      <c r="P65" s="1"/>
    </row>
    <row r="66" spans="1:16" x14ac:dyDescent="0.2">
      <c r="A66" s="4">
        <v>46058</v>
      </c>
      <c r="B66" s="1" t="s">
        <v>14</v>
      </c>
      <c r="C66" s="1" t="s">
        <v>33</v>
      </c>
      <c r="D66" s="1">
        <v>3425</v>
      </c>
      <c r="E66" s="1" t="s">
        <v>189</v>
      </c>
      <c r="F66" s="1">
        <v>153</v>
      </c>
      <c r="G66" s="1">
        <v>1000</v>
      </c>
      <c r="H66" s="1">
        <v>11</v>
      </c>
      <c r="I66" s="1">
        <v>650</v>
      </c>
      <c r="J66" s="8">
        <f t="shared" si="1"/>
        <v>11650</v>
      </c>
      <c r="K66" s="27">
        <f t="shared" si="2"/>
        <v>9.9085365853658555E-3</v>
      </c>
      <c r="L66" s="1">
        <v>1.3</v>
      </c>
      <c r="M66" s="1">
        <v>1.8</v>
      </c>
      <c r="N66" s="1">
        <v>4</v>
      </c>
      <c r="O66" s="1">
        <v>21.8</v>
      </c>
      <c r="P66" s="1"/>
    </row>
    <row r="67" spans="1:16" x14ac:dyDescent="0.2">
      <c r="A67" s="4">
        <v>46058</v>
      </c>
      <c r="B67" s="1" t="s">
        <v>14</v>
      </c>
      <c r="C67" s="1" t="s">
        <v>33</v>
      </c>
      <c r="D67" s="1">
        <v>3430</v>
      </c>
      <c r="E67" s="1" t="s">
        <v>356</v>
      </c>
      <c r="F67" s="1">
        <v>187.2</v>
      </c>
      <c r="G67" s="1">
        <v>500</v>
      </c>
      <c r="H67" s="1">
        <v>15</v>
      </c>
      <c r="I67" s="1"/>
      <c r="J67" s="8">
        <f t="shared" ref="J67:J129" si="3">G67*H67+I67</f>
        <v>7500</v>
      </c>
      <c r="K67" s="27">
        <f t="shared" si="2"/>
        <v>6.1073411474398522E-2</v>
      </c>
      <c r="L67" s="1">
        <v>9.9</v>
      </c>
      <c r="M67" s="1">
        <v>3.5</v>
      </c>
      <c r="N67" s="1"/>
      <c r="O67" s="1">
        <v>25.1</v>
      </c>
      <c r="P67" s="1"/>
    </row>
    <row r="68" spans="1:16" ht="17" x14ac:dyDescent="0.2">
      <c r="A68" s="4">
        <v>46059</v>
      </c>
      <c r="B68" s="1" t="s">
        <v>40</v>
      </c>
      <c r="C68" s="1" t="s">
        <v>24</v>
      </c>
      <c r="D68" s="1">
        <v>3346</v>
      </c>
      <c r="E68" s="1" t="s">
        <v>591</v>
      </c>
      <c r="F68" s="1">
        <v>254.3</v>
      </c>
      <c r="G68" s="1">
        <v>500</v>
      </c>
      <c r="H68" s="1">
        <v>39</v>
      </c>
      <c r="I68" s="1"/>
      <c r="J68" s="8">
        <f t="shared" si="3"/>
        <v>19500</v>
      </c>
      <c r="K68" s="27">
        <f t="shared" si="2"/>
        <v>1.1797090051120724E-3</v>
      </c>
      <c r="L68" s="12">
        <v>0.3</v>
      </c>
      <c r="M68" s="16"/>
      <c r="N68" s="16"/>
      <c r="O68" s="16"/>
      <c r="P68" s="16"/>
    </row>
    <row r="69" spans="1:16" ht="17" x14ac:dyDescent="0.2">
      <c r="A69" s="4">
        <v>46059</v>
      </c>
      <c r="B69" s="1" t="s">
        <v>40</v>
      </c>
      <c r="C69" s="1" t="s">
        <v>24</v>
      </c>
      <c r="D69" s="1">
        <v>3741</v>
      </c>
      <c r="E69" s="1" t="s">
        <v>594</v>
      </c>
      <c r="F69" s="1">
        <v>80.8</v>
      </c>
      <c r="G69" s="1">
        <v>3000</v>
      </c>
      <c r="H69" s="1">
        <v>17</v>
      </c>
      <c r="I69" s="1">
        <v>1900</v>
      </c>
      <c r="J69" s="8">
        <f t="shared" si="3"/>
        <v>52900</v>
      </c>
      <c r="K69" s="27">
        <f t="shared" si="2"/>
        <v>3.7128712871287127E-3</v>
      </c>
      <c r="L69" s="31">
        <v>0.3</v>
      </c>
      <c r="M69" s="15"/>
      <c r="N69" s="15"/>
      <c r="O69" s="15"/>
      <c r="P69" s="15"/>
    </row>
    <row r="70" spans="1:16" x14ac:dyDescent="0.2">
      <c r="A70" s="4">
        <v>46059</v>
      </c>
      <c r="B70" s="1" t="s">
        <v>40</v>
      </c>
      <c r="C70" s="1" t="s">
        <v>24</v>
      </c>
      <c r="D70" s="1">
        <v>3750</v>
      </c>
      <c r="E70" s="1" t="s">
        <v>595</v>
      </c>
      <c r="F70" s="1">
        <v>93</v>
      </c>
      <c r="G70" s="1">
        <v>4000</v>
      </c>
      <c r="H70" s="1">
        <v>10</v>
      </c>
      <c r="I70" s="1"/>
      <c r="J70" s="8">
        <f t="shared" si="3"/>
        <v>40000</v>
      </c>
      <c r="K70" s="27">
        <f t="shared" si="2"/>
        <v>0</v>
      </c>
      <c r="L70" s="17"/>
      <c r="M70" s="15"/>
      <c r="N70" s="15"/>
      <c r="O70" s="15"/>
      <c r="P70" s="15"/>
    </row>
    <row r="71" spans="1:16" x14ac:dyDescent="0.2">
      <c r="A71" s="4">
        <v>46059</v>
      </c>
      <c r="B71" s="1" t="s">
        <v>40</v>
      </c>
      <c r="C71" s="1" t="s">
        <v>27</v>
      </c>
      <c r="D71" s="1">
        <v>3586</v>
      </c>
      <c r="E71" s="1" t="s">
        <v>592</v>
      </c>
      <c r="F71" s="1">
        <v>46</v>
      </c>
      <c r="G71" s="1">
        <v>3600</v>
      </c>
      <c r="H71" s="1">
        <v>6</v>
      </c>
      <c r="I71" s="1">
        <v>3200</v>
      </c>
      <c r="J71" s="8">
        <f t="shared" si="3"/>
        <v>24800</v>
      </c>
      <c r="K71" s="27">
        <f t="shared" si="2"/>
        <v>3.043478260869565E-2</v>
      </c>
      <c r="L71" s="1">
        <v>1.4</v>
      </c>
      <c r="M71" s="1"/>
      <c r="N71" s="1"/>
      <c r="O71" s="1"/>
      <c r="P71" s="1"/>
    </row>
    <row r="72" spans="1:16" x14ac:dyDescent="0.2">
      <c r="A72" s="4">
        <v>46059</v>
      </c>
      <c r="B72" s="1" t="s">
        <v>40</v>
      </c>
      <c r="C72" s="1" t="s">
        <v>27</v>
      </c>
      <c r="D72" s="1">
        <v>3409</v>
      </c>
      <c r="E72" s="1" t="s">
        <v>596</v>
      </c>
      <c r="F72" s="1">
        <v>172.3</v>
      </c>
      <c r="G72" s="1">
        <v>4800</v>
      </c>
      <c r="H72" s="1">
        <v>11</v>
      </c>
      <c r="I72" s="1">
        <v>3400</v>
      </c>
      <c r="J72" s="8">
        <f t="shared" si="3"/>
        <v>56200</v>
      </c>
      <c r="K72" s="27">
        <f t="shared" si="2"/>
        <v>1.1607661056297156E-2</v>
      </c>
      <c r="L72" s="1">
        <v>2</v>
      </c>
      <c r="M72" s="1"/>
      <c r="N72" s="1"/>
      <c r="O72" s="1"/>
      <c r="P72" s="1"/>
    </row>
    <row r="73" spans="1:16" x14ac:dyDescent="0.2">
      <c r="A73" s="4">
        <v>46059</v>
      </c>
      <c r="B73" s="1" t="s">
        <v>40</v>
      </c>
      <c r="C73" s="1" t="s">
        <v>20</v>
      </c>
      <c r="D73" s="1">
        <v>3679</v>
      </c>
      <c r="E73" s="1" t="s">
        <v>597</v>
      </c>
      <c r="F73" s="1">
        <v>972.9</v>
      </c>
      <c r="G73" s="1">
        <v>150</v>
      </c>
      <c r="H73" s="1">
        <v>88</v>
      </c>
      <c r="I73" s="1">
        <v>135</v>
      </c>
      <c r="J73" s="8">
        <f t="shared" si="3"/>
        <v>13335</v>
      </c>
      <c r="K73" s="27">
        <f t="shared" si="2"/>
        <v>5.4476307945318121E-3</v>
      </c>
      <c r="L73" s="1">
        <v>5.3</v>
      </c>
      <c r="M73" s="1"/>
      <c r="N73" s="1"/>
      <c r="O73" s="1"/>
      <c r="P73" s="1"/>
    </row>
    <row r="74" spans="1:16" x14ac:dyDescent="0.2">
      <c r="A74" s="4">
        <v>46059</v>
      </c>
      <c r="B74" s="1" t="s">
        <v>40</v>
      </c>
      <c r="C74" s="1" t="s">
        <v>20</v>
      </c>
      <c r="D74" s="1">
        <v>3623</v>
      </c>
      <c r="E74" s="1" t="s">
        <v>598</v>
      </c>
      <c r="F74" s="1">
        <v>168</v>
      </c>
      <c r="G74" s="1">
        <v>500</v>
      </c>
      <c r="H74" s="1">
        <v>11</v>
      </c>
      <c r="I74" s="1"/>
      <c r="J74" s="8">
        <f t="shared" si="3"/>
        <v>5500</v>
      </c>
      <c r="K74" s="27">
        <f t="shared" si="2"/>
        <v>1.0714285714285714E-2</v>
      </c>
      <c r="L74" s="1">
        <v>1.8</v>
      </c>
      <c r="M74" s="1"/>
      <c r="N74" s="1"/>
      <c r="O74" s="1"/>
      <c r="P74" s="1"/>
    </row>
    <row r="75" spans="1:16" x14ac:dyDescent="0.2">
      <c r="A75" s="4">
        <v>46059</v>
      </c>
      <c r="B75" s="1" t="s">
        <v>40</v>
      </c>
      <c r="C75" s="1" t="s">
        <v>15</v>
      </c>
      <c r="D75" s="1">
        <v>3607</v>
      </c>
      <c r="E75" s="1" t="s">
        <v>282</v>
      </c>
      <c r="F75" s="1">
        <v>196.6</v>
      </c>
      <c r="G75" s="1">
        <v>4800</v>
      </c>
      <c r="H75" s="1">
        <v>16</v>
      </c>
      <c r="I75" s="1">
        <v>1300</v>
      </c>
      <c r="J75" s="8">
        <f t="shared" si="3"/>
        <v>78100</v>
      </c>
      <c r="K75" s="27">
        <f t="shared" si="2"/>
        <v>5.5951169888097665E-3</v>
      </c>
      <c r="L75" s="1">
        <v>1.1000000000000001</v>
      </c>
      <c r="M75" s="1"/>
      <c r="N75" s="1"/>
      <c r="O75" s="1"/>
      <c r="P75" s="1"/>
    </row>
    <row r="76" spans="1:16" x14ac:dyDescent="0.2">
      <c r="A76" s="4">
        <v>46059</v>
      </c>
      <c r="B76" s="1" t="s">
        <v>40</v>
      </c>
      <c r="C76" s="1" t="s">
        <v>15</v>
      </c>
      <c r="D76" s="1">
        <v>3685</v>
      </c>
      <c r="E76" s="1" t="s">
        <v>159</v>
      </c>
      <c r="F76" s="1">
        <v>753.4</v>
      </c>
      <c r="G76" s="1">
        <v>800</v>
      </c>
      <c r="H76" s="1">
        <v>56</v>
      </c>
      <c r="I76" s="1">
        <v>350</v>
      </c>
      <c r="J76" s="8">
        <f t="shared" si="3"/>
        <v>45150</v>
      </c>
      <c r="K76" s="27">
        <f t="shared" si="2"/>
        <v>4.1146801168038226E-3</v>
      </c>
      <c r="L76" s="1">
        <v>3.1</v>
      </c>
      <c r="M76" s="1"/>
      <c r="N76" s="1"/>
      <c r="O76" s="1"/>
      <c r="P76" s="1"/>
    </row>
    <row r="77" spans="1:16" x14ac:dyDescent="0.2">
      <c r="A77" s="4">
        <v>46059</v>
      </c>
      <c r="B77" s="1" t="s">
        <v>40</v>
      </c>
      <c r="C77" s="1" t="s">
        <v>33</v>
      </c>
      <c r="D77" s="1">
        <v>3430</v>
      </c>
      <c r="E77" s="1" t="s">
        <v>356</v>
      </c>
      <c r="F77" s="1">
        <v>58.3</v>
      </c>
      <c r="G77" s="1">
        <v>500</v>
      </c>
      <c r="H77" s="1">
        <v>5</v>
      </c>
      <c r="I77" s="1">
        <v>100</v>
      </c>
      <c r="J77" s="8">
        <f t="shared" si="3"/>
        <v>2600</v>
      </c>
      <c r="K77" s="27">
        <f t="shared" si="2"/>
        <v>2.1956087824351302E-2</v>
      </c>
      <c r="L77" s="1">
        <v>1.1000000000000001</v>
      </c>
      <c r="M77" s="1">
        <v>0.8</v>
      </c>
      <c r="N77" s="1"/>
      <c r="O77" s="1">
        <v>8.1999999999999993</v>
      </c>
      <c r="P77" s="1"/>
    </row>
    <row r="78" spans="1:16" x14ac:dyDescent="0.2">
      <c r="A78" s="4">
        <v>46059</v>
      </c>
      <c r="B78" s="1" t="s">
        <v>40</v>
      </c>
      <c r="C78" s="1" t="s">
        <v>33</v>
      </c>
      <c r="D78" s="1">
        <v>3465</v>
      </c>
      <c r="E78" s="1" t="s">
        <v>599</v>
      </c>
      <c r="F78" s="1">
        <v>326</v>
      </c>
      <c r="G78" s="1">
        <v>500</v>
      </c>
      <c r="H78" s="1">
        <v>35</v>
      </c>
      <c r="I78" s="1">
        <v>400</v>
      </c>
      <c r="J78" s="8">
        <f t="shared" si="3"/>
        <v>17900</v>
      </c>
      <c r="K78" s="27">
        <f t="shared" si="2"/>
        <v>1.0427528675703859E-2</v>
      </c>
      <c r="L78" s="1">
        <v>3</v>
      </c>
      <c r="M78" s="1">
        <v>4.5999999999999996</v>
      </c>
      <c r="N78" s="1"/>
      <c r="O78" s="1">
        <v>38.299999999999997</v>
      </c>
      <c r="P78" s="1"/>
    </row>
    <row r="79" spans="1:16" x14ac:dyDescent="0.2">
      <c r="A79" s="4">
        <v>46059</v>
      </c>
      <c r="B79" s="1" t="s">
        <v>40</v>
      </c>
      <c r="C79" s="1" t="s">
        <v>33</v>
      </c>
      <c r="D79" s="1">
        <v>3549</v>
      </c>
      <c r="E79" s="1" t="s">
        <v>600</v>
      </c>
      <c r="F79" s="1">
        <v>227.5</v>
      </c>
      <c r="G79" s="1">
        <v>500</v>
      </c>
      <c r="H79" s="1">
        <v>18</v>
      </c>
      <c r="I79" s="1">
        <v>290</v>
      </c>
      <c r="J79" s="8">
        <f t="shared" si="3"/>
        <v>9290</v>
      </c>
      <c r="K79" s="27">
        <f t="shared" si="2"/>
        <v>4.0244523688232295E-2</v>
      </c>
      <c r="L79" s="1">
        <v>7.9</v>
      </c>
      <c r="M79" s="1">
        <v>4.8</v>
      </c>
      <c r="N79" s="1"/>
      <c r="O79" s="1">
        <v>31.2</v>
      </c>
      <c r="P79" s="1"/>
    </row>
    <row r="80" spans="1:16" x14ac:dyDescent="0.2">
      <c r="A80" s="4">
        <v>46059</v>
      </c>
      <c r="B80" s="1" t="s">
        <v>40</v>
      </c>
      <c r="C80" s="1" t="s">
        <v>33</v>
      </c>
      <c r="D80" s="1">
        <v>3403</v>
      </c>
      <c r="E80" s="1" t="s">
        <v>601</v>
      </c>
      <c r="F80" s="1">
        <v>145</v>
      </c>
      <c r="G80" s="1">
        <v>500</v>
      </c>
      <c r="H80" s="1">
        <v>16</v>
      </c>
      <c r="I80" s="1">
        <v>350</v>
      </c>
      <c r="J80" s="8">
        <f t="shared" si="3"/>
        <v>8350</v>
      </c>
      <c r="K80" s="27">
        <f t="shared" si="2"/>
        <v>8.737092930897538E-3</v>
      </c>
      <c r="L80" s="1">
        <v>1.1000000000000001</v>
      </c>
      <c r="M80" s="1">
        <v>1.2</v>
      </c>
      <c r="N80" s="1"/>
      <c r="O80" s="1">
        <v>19.100000000000001</v>
      </c>
      <c r="P80" s="1"/>
    </row>
    <row r="81" spans="1:16" x14ac:dyDescent="0.2">
      <c r="A81" s="4">
        <v>46059</v>
      </c>
      <c r="B81" s="1" t="s">
        <v>40</v>
      </c>
      <c r="C81" s="1" t="s">
        <v>15</v>
      </c>
      <c r="D81" s="1">
        <v>3640</v>
      </c>
      <c r="E81" s="1" t="s">
        <v>602</v>
      </c>
      <c r="F81" s="1">
        <v>73.5</v>
      </c>
      <c r="G81" s="1">
        <v>500</v>
      </c>
      <c r="H81" s="1">
        <v>5</v>
      </c>
      <c r="I81" s="1">
        <v>450</v>
      </c>
      <c r="J81" s="8">
        <f t="shared" si="3"/>
        <v>2950</v>
      </c>
      <c r="K81" s="27">
        <f t="shared" si="2"/>
        <v>1.6326530612244896E-2</v>
      </c>
      <c r="L81" s="1">
        <v>1.2</v>
      </c>
      <c r="M81" s="1"/>
      <c r="N81" s="1"/>
      <c r="O81" s="1"/>
      <c r="P81" s="1"/>
    </row>
    <row r="82" spans="1:16" x14ac:dyDescent="0.2">
      <c r="A82" s="4">
        <v>46059</v>
      </c>
      <c r="B82" s="1" t="s">
        <v>40</v>
      </c>
      <c r="C82" s="1" t="s">
        <v>20</v>
      </c>
      <c r="D82" s="1">
        <v>3531</v>
      </c>
      <c r="E82" s="1" t="s">
        <v>586</v>
      </c>
      <c r="F82" s="1">
        <v>50</v>
      </c>
      <c r="G82" s="1">
        <v>600</v>
      </c>
      <c r="H82" s="1">
        <v>4</v>
      </c>
      <c r="I82" s="1"/>
      <c r="J82" s="8">
        <f t="shared" si="3"/>
        <v>2400</v>
      </c>
      <c r="K82" s="27">
        <f t="shared" si="2"/>
        <v>6.2E-2</v>
      </c>
      <c r="L82" s="1">
        <v>3.1</v>
      </c>
      <c r="M82" s="1"/>
      <c r="N82" s="1"/>
      <c r="O82" s="1"/>
      <c r="P82" s="1"/>
    </row>
    <row r="83" spans="1:16" x14ac:dyDescent="0.2">
      <c r="A83" s="4">
        <v>46059</v>
      </c>
      <c r="B83" s="1" t="s">
        <v>40</v>
      </c>
      <c r="C83" s="1" t="s">
        <v>33</v>
      </c>
      <c r="D83" s="1">
        <v>3472</v>
      </c>
      <c r="E83" s="1" t="s">
        <v>189</v>
      </c>
      <c r="F83" s="1">
        <v>215.9</v>
      </c>
      <c r="G83" s="1">
        <v>500</v>
      </c>
      <c r="H83" s="1">
        <v>20</v>
      </c>
      <c r="I83" s="1"/>
      <c r="J83" s="8">
        <f t="shared" si="3"/>
        <v>10000</v>
      </c>
      <c r="K83" s="27">
        <f t="shared" si="2"/>
        <v>1.7176596886741814E-2</v>
      </c>
      <c r="L83" s="1">
        <v>3.2</v>
      </c>
      <c r="M83" s="1">
        <v>3</v>
      </c>
      <c r="N83" s="1"/>
      <c r="O83" s="1">
        <v>29.6</v>
      </c>
      <c r="P83" s="1"/>
    </row>
    <row r="84" spans="1:16" x14ac:dyDescent="0.2">
      <c r="A84" s="4">
        <v>46059</v>
      </c>
      <c r="B84" s="1" t="s">
        <v>40</v>
      </c>
      <c r="C84" s="1" t="s">
        <v>33</v>
      </c>
      <c r="D84" s="1">
        <v>3479</v>
      </c>
      <c r="E84" s="1" t="s">
        <v>603</v>
      </c>
      <c r="F84" s="1">
        <v>47</v>
      </c>
      <c r="G84" s="1">
        <v>500</v>
      </c>
      <c r="H84" s="1">
        <v>4</v>
      </c>
      <c r="I84" s="1"/>
      <c r="J84" s="8">
        <f t="shared" si="3"/>
        <v>2000</v>
      </c>
      <c r="K84" s="27">
        <f t="shared" si="2"/>
        <v>2.7027027027027029E-2</v>
      </c>
      <c r="L84" s="1">
        <v>1.1000000000000001</v>
      </c>
      <c r="M84" s="1"/>
      <c r="N84" s="1"/>
      <c r="O84" s="1">
        <v>6.3</v>
      </c>
      <c r="P84" s="1"/>
    </row>
    <row r="85" spans="1:16" x14ac:dyDescent="0.2">
      <c r="A85" s="4">
        <v>46059</v>
      </c>
      <c r="B85" s="1" t="s">
        <v>40</v>
      </c>
      <c r="C85" s="1" t="s">
        <v>27</v>
      </c>
      <c r="D85" s="1">
        <v>3750</v>
      </c>
      <c r="E85" s="1" t="s">
        <v>604</v>
      </c>
      <c r="F85" s="1">
        <v>56.3</v>
      </c>
      <c r="G85" s="1">
        <v>4000</v>
      </c>
      <c r="H85" s="1">
        <v>3</v>
      </c>
      <c r="I85" s="1"/>
      <c r="J85" s="8">
        <f t="shared" si="3"/>
        <v>12000</v>
      </c>
      <c r="K85" s="27">
        <f t="shared" si="2"/>
        <v>0</v>
      </c>
      <c r="L85" s="1"/>
      <c r="M85" s="1"/>
      <c r="N85" s="1"/>
      <c r="O85" s="1"/>
      <c r="P85" s="1"/>
    </row>
    <row r="86" spans="1:16" x14ac:dyDescent="0.2">
      <c r="A86" s="4">
        <v>46059</v>
      </c>
      <c r="B86" s="1" t="s">
        <v>40</v>
      </c>
      <c r="C86" s="1" t="s">
        <v>24</v>
      </c>
      <c r="D86" s="1">
        <v>3750</v>
      </c>
      <c r="E86" s="1" t="s">
        <v>604</v>
      </c>
      <c r="F86" s="1">
        <v>93</v>
      </c>
      <c r="G86" s="1">
        <v>4000</v>
      </c>
      <c r="H86" s="1">
        <v>10</v>
      </c>
      <c r="I86" s="1"/>
      <c r="J86" s="8">
        <f t="shared" si="3"/>
        <v>40000</v>
      </c>
      <c r="K86" s="27">
        <f t="shared" si="2"/>
        <v>0</v>
      </c>
      <c r="L86" s="1"/>
      <c r="M86" s="1"/>
      <c r="N86" s="1"/>
      <c r="O86" s="1"/>
      <c r="P86" s="1"/>
    </row>
    <row r="87" spans="1:16" x14ac:dyDescent="0.2">
      <c r="A87" s="4">
        <v>46060</v>
      </c>
      <c r="B87" s="1" t="s">
        <v>54</v>
      </c>
      <c r="C87" s="1" t="s">
        <v>20</v>
      </c>
      <c r="D87" s="1">
        <v>3531</v>
      </c>
      <c r="E87" s="1" t="s">
        <v>586</v>
      </c>
      <c r="F87" s="1">
        <v>184.4</v>
      </c>
      <c r="G87" s="1">
        <v>600</v>
      </c>
      <c r="H87" s="1">
        <v>8</v>
      </c>
      <c r="I87" s="1">
        <v>175</v>
      </c>
      <c r="J87" s="8">
        <f t="shared" si="3"/>
        <v>4975</v>
      </c>
      <c r="K87" s="27">
        <f t="shared" si="2"/>
        <v>0</v>
      </c>
      <c r="L87" s="1"/>
      <c r="M87" s="1">
        <v>2.8</v>
      </c>
      <c r="N87" s="1">
        <v>2</v>
      </c>
      <c r="O87" s="1"/>
      <c r="P87" s="1"/>
    </row>
    <row r="88" spans="1:16" x14ac:dyDescent="0.2">
      <c r="A88" s="4">
        <v>46060</v>
      </c>
      <c r="B88" s="1" t="s">
        <v>54</v>
      </c>
      <c r="C88" s="1" t="s">
        <v>15</v>
      </c>
      <c r="D88" s="1">
        <v>3387</v>
      </c>
      <c r="E88" s="1" t="s">
        <v>309</v>
      </c>
      <c r="F88" s="1">
        <v>90.4</v>
      </c>
      <c r="G88" s="1">
        <v>5000</v>
      </c>
      <c r="H88" s="1">
        <v>8</v>
      </c>
      <c r="I88" s="1"/>
      <c r="J88" s="8">
        <f t="shared" si="3"/>
        <v>40000</v>
      </c>
      <c r="K88" s="27">
        <f t="shared" si="2"/>
        <v>0</v>
      </c>
      <c r="L88" s="1"/>
      <c r="M88" s="1"/>
      <c r="N88" s="1"/>
      <c r="O88" s="1"/>
      <c r="P88" s="1"/>
    </row>
    <row r="89" spans="1:16" x14ac:dyDescent="0.2">
      <c r="A89" s="4">
        <v>46060</v>
      </c>
      <c r="B89" s="1" t="s">
        <v>54</v>
      </c>
      <c r="C89" s="1" t="s">
        <v>24</v>
      </c>
      <c r="D89" s="1">
        <v>3750</v>
      </c>
      <c r="E89" s="1" t="s">
        <v>604</v>
      </c>
      <c r="F89" s="1">
        <v>110.6</v>
      </c>
      <c r="G89" s="1">
        <v>4000</v>
      </c>
      <c r="H89" s="1">
        <v>12</v>
      </c>
      <c r="I89" s="1"/>
      <c r="J89" s="8">
        <f t="shared" si="3"/>
        <v>48000</v>
      </c>
      <c r="K89" s="27">
        <f t="shared" si="2"/>
        <v>1.35623869801085E-2</v>
      </c>
      <c r="L89" s="1">
        <v>1.5</v>
      </c>
      <c r="M89" s="1"/>
      <c r="N89" s="1"/>
      <c r="O89" s="1"/>
      <c r="P89" s="1"/>
    </row>
    <row r="90" spans="1:16" x14ac:dyDescent="0.2">
      <c r="A90" s="4">
        <v>46060</v>
      </c>
      <c r="B90" s="1" t="s">
        <v>54</v>
      </c>
      <c r="C90" s="1" t="s">
        <v>33</v>
      </c>
      <c r="D90" s="1">
        <v>3479</v>
      </c>
      <c r="E90" s="1" t="s">
        <v>603</v>
      </c>
      <c r="F90" s="1">
        <v>712.2</v>
      </c>
      <c r="G90" s="1">
        <v>500</v>
      </c>
      <c r="H90" s="1">
        <v>60</v>
      </c>
      <c r="I90" s="1">
        <v>140</v>
      </c>
      <c r="J90" s="8">
        <f t="shared" si="3"/>
        <v>30140</v>
      </c>
      <c r="K90" s="27">
        <f t="shared" si="2"/>
        <v>2.4084778420038534E-3</v>
      </c>
      <c r="L90" s="1">
        <v>1.5</v>
      </c>
      <c r="M90" s="1">
        <v>2.1</v>
      </c>
      <c r="N90" s="1"/>
      <c r="O90" s="1">
        <v>89.4</v>
      </c>
      <c r="P90" s="1"/>
    </row>
    <row r="91" spans="1:16" x14ac:dyDescent="0.2">
      <c r="A91" s="4">
        <v>46060</v>
      </c>
      <c r="B91" s="1" t="s">
        <v>54</v>
      </c>
      <c r="C91" s="1" t="s">
        <v>27</v>
      </c>
      <c r="D91" s="1">
        <v>3751</v>
      </c>
      <c r="E91" s="1" t="s">
        <v>605</v>
      </c>
      <c r="F91" s="1">
        <v>337.4</v>
      </c>
      <c r="G91" s="1">
        <v>3000</v>
      </c>
      <c r="H91" s="1">
        <v>34</v>
      </c>
      <c r="I91" s="1">
        <v>2600</v>
      </c>
      <c r="J91" s="8">
        <f t="shared" si="3"/>
        <v>104600</v>
      </c>
      <c r="K91" s="27">
        <f t="shared" si="2"/>
        <v>5.0385299347954953E-3</v>
      </c>
      <c r="L91" s="1">
        <v>1.7</v>
      </c>
      <c r="M91" s="1"/>
      <c r="N91" s="1"/>
      <c r="O91" s="1"/>
      <c r="P91" s="1"/>
    </row>
    <row r="92" spans="1:16" x14ac:dyDescent="0.2">
      <c r="A92" s="4">
        <v>46060</v>
      </c>
      <c r="B92" s="1" t="s">
        <v>54</v>
      </c>
      <c r="C92" s="1" t="s">
        <v>20</v>
      </c>
      <c r="D92" s="1">
        <v>3629</v>
      </c>
      <c r="E92" s="1" t="s">
        <v>606</v>
      </c>
      <c r="F92" s="1">
        <v>631.70000000000005</v>
      </c>
      <c r="G92" s="1">
        <v>600</v>
      </c>
      <c r="H92" s="1">
        <v>50</v>
      </c>
      <c r="I92" s="1"/>
      <c r="J92" s="8">
        <f t="shared" si="3"/>
        <v>30000</v>
      </c>
      <c r="K92" s="27">
        <f t="shared" si="2"/>
        <v>1.8204844071552952E-2</v>
      </c>
      <c r="L92" s="1">
        <v>11.5</v>
      </c>
      <c r="M92" s="1"/>
      <c r="N92" s="1"/>
      <c r="O92" s="1"/>
      <c r="P92" s="1"/>
    </row>
    <row r="93" spans="1:16" x14ac:dyDescent="0.2">
      <c r="A93" s="4">
        <v>46060</v>
      </c>
      <c r="B93" s="1" t="s">
        <v>54</v>
      </c>
      <c r="C93" s="1" t="s">
        <v>33</v>
      </c>
      <c r="D93" s="1">
        <v>3417</v>
      </c>
      <c r="E93" s="1" t="s">
        <v>607</v>
      </c>
      <c r="F93" s="1">
        <v>507.5</v>
      </c>
      <c r="G93" s="1">
        <v>500</v>
      </c>
      <c r="H93" s="1">
        <v>26</v>
      </c>
      <c r="I93" s="1">
        <v>150</v>
      </c>
      <c r="J93" s="8">
        <f t="shared" si="3"/>
        <v>13150</v>
      </c>
      <c r="K93" s="27">
        <f t="shared" si="2"/>
        <v>1.1927998265018433E-2</v>
      </c>
      <c r="L93" s="1">
        <v>5.5</v>
      </c>
      <c r="M93" s="1">
        <v>3.5</v>
      </c>
      <c r="N93" s="1"/>
      <c r="O93" s="1">
        <v>46.4</v>
      </c>
      <c r="P93" s="1"/>
    </row>
    <row r="94" spans="1:16" x14ac:dyDescent="0.2">
      <c r="A94" s="4">
        <v>46060</v>
      </c>
      <c r="B94" s="1" t="s">
        <v>54</v>
      </c>
      <c r="C94" s="1" t="s">
        <v>33</v>
      </c>
      <c r="D94" s="1">
        <v>3509</v>
      </c>
      <c r="E94" s="1" t="s">
        <v>107</v>
      </c>
      <c r="F94" s="1">
        <v>591</v>
      </c>
      <c r="G94" s="1">
        <v>500</v>
      </c>
      <c r="H94" s="1">
        <v>61</v>
      </c>
      <c r="I94" s="1"/>
      <c r="J94" s="8">
        <f t="shared" si="3"/>
        <v>30500</v>
      </c>
      <c r="K94" s="27">
        <f t="shared" si="2"/>
        <v>2.8968486983754163E-2</v>
      </c>
      <c r="L94" s="1">
        <v>14.8</v>
      </c>
      <c r="M94" s="1">
        <v>1.8</v>
      </c>
      <c r="N94" s="1"/>
      <c r="O94" s="1">
        <v>80.099999999999994</v>
      </c>
      <c r="P94" s="1"/>
    </row>
    <row r="95" spans="1:16" x14ac:dyDescent="0.2">
      <c r="A95" s="4">
        <v>46060</v>
      </c>
      <c r="B95" s="1" t="s">
        <v>54</v>
      </c>
      <c r="C95" s="1" t="s">
        <v>24</v>
      </c>
      <c r="D95" s="1">
        <v>3681</v>
      </c>
      <c r="E95" s="1" t="s">
        <v>46</v>
      </c>
      <c r="F95" s="1">
        <v>314.39999999999998</v>
      </c>
      <c r="G95" s="1">
        <v>250</v>
      </c>
      <c r="H95" s="1">
        <v>15</v>
      </c>
      <c r="I95" s="1"/>
      <c r="J95" s="8">
        <f t="shared" si="3"/>
        <v>3750</v>
      </c>
      <c r="K95" s="27">
        <f t="shared" si="2"/>
        <v>4.1348600508905858E-3</v>
      </c>
      <c r="L95" s="1">
        <v>1.3</v>
      </c>
      <c r="M95" s="1">
        <v>5.3</v>
      </c>
      <c r="N95" s="1"/>
      <c r="O95" s="1"/>
      <c r="P95" s="1"/>
    </row>
    <row r="96" spans="1:16" x14ac:dyDescent="0.2">
      <c r="A96" s="4">
        <v>46060</v>
      </c>
      <c r="B96" s="1" t="s">
        <v>54</v>
      </c>
      <c r="C96" s="1" t="s">
        <v>27</v>
      </c>
      <c r="D96" s="1">
        <v>3461</v>
      </c>
      <c r="E96" s="1" t="s">
        <v>608</v>
      </c>
      <c r="F96" s="1">
        <v>41.5</v>
      </c>
      <c r="G96" s="1">
        <v>500</v>
      </c>
      <c r="H96" s="1">
        <v>6</v>
      </c>
      <c r="I96" s="1"/>
      <c r="J96" s="8">
        <f t="shared" si="3"/>
        <v>3000</v>
      </c>
      <c r="K96" s="27">
        <f t="shared" si="2"/>
        <v>2.1686746987951807E-2</v>
      </c>
      <c r="L96" s="1">
        <v>0.9</v>
      </c>
      <c r="M96" s="1"/>
      <c r="N96" s="1"/>
      <c r="O96" s="1"/>
      <c r="P96" s="1"/>
    </row>
    <row r="97" spans="1:16" x14ac:dyDescent="0.2">
      <c r="A97" s="4">
        <v>46061</v>
      </c>
      <c r="B97" s="1" t="s">
        <v>14</v>
      </c>
      <c r="C97" s="1" t="s">
        <v>15</v>
      </c>
      <c r="D97" s="1">
        <v>3387</v>
      </c>
      <c r="E97" s="1" t="s">
        <v>309</v>
      </c>
      <c r="F97" s="1">
        <v>17.899999999999999</v>
      </c>
      <c r="G97" s="1">
        <v>5000</v>
      </c>
      <c r="H97" s="1">
        <v>1</v>
      </c>
      <c r="I97" s="1">
        <v>2300</v>
      </c>
      <c r="J97" s="8">
        <f t="shared" si="3"/>
        <v>7300</v>
      </c>
      <c r="K97" s="27">
        <f t="shared" si="2"/>
        <v>3.3519553072625698E-2</v>
      </c>
      <c r="L97" s="1">
        <v>0.6</v>
      </c>
      <c r="M97" s="1"/>
      <c r="N97" s="1"/>
      <c r="O97" s="1"/>
      <c r="P97" s="1"/>
    </row>
    <row r="98" spans="1:16" x14ac:dyDescent="0.2">
      <c r="A98" s="4">
        <v>46061</v>
      </c>
      <c r="B98" s="1" t="s">
        <v>14</v>
      </c>
      <c r="C98" s="1" t="s">
        <v>15</v>
      </c>
      <c r="D98" s="1">
        <v>3690</v>
      </c>
      <c r="E98" s="1" t="s">
        <v>609</v>
      </c>
      <c r="F98" s="1">
        <v>258.5</v>
      </c>
      <c r="G98" s="1">
        <v>200</v>
      </c>
      <c r="H98" s="1">
        <v>15</v>
      </c>
      <c r="I98" s="1"/>
      <c r="J98" s="8">
        <f t="shared" si="3"/>
        <v>3000</v>
      </c>
      <c r="K98" s="27">
        <f t="shared" si="2"/>
        <v>1.160541586073501E-2</v>
      </c>
      <c r="L98" s="1">
        <v>3</v>
      </c>
      <c r="M98" s="1"/>
      <c r="N98" s="1">
        <v>18.2</v>
      </c>
      <c r="O98" s="1"/>
      <c r="P98" s="1"/>
    </row>
    <row r="99" spans="1:16" x14ac:dyDescent="0.2">
      <c r="A99" s="4">
        <v>46061</v>
      </c>
      <c r="B99" s="1" t="s">
        <v>14</v>
      </c>
      <c r="C99" s="1" t="s">
        <v>15</v>
      </c>
      <c r="D99" s="1">
        <v>3691</v>
      </c>
      <c r="E99" s="1" t="s">
        <v>609</v>
      </c>
      <c r="F99" s="1">
        <v>251.9</v>
      </c>
      <c r="G99" s="1">
        <v>200</v>
      </c>
      <c r="H99" s="1">
        <v>14</v>
      </c>
      <c r="I99" s="1">
        <v>160</v>
      </c>
      <c r="J99" s="8">
        <f t="shared" si="3"/>
        <v>2960</v>
      </c>
      <c r="K99" s="27">
        <f t="shared" si="2"/>
        <v>1.0718539102818579E-2</v>
      </c>
      <c r="L99" s="1">
        <v>2.7</v>
      </c>
      <c r="M99" s="1"/>
      <c r="N99" s="1">
        <v>2.1</v>
      </c>
      <c r="O99" s="1"/>
      <c r="P99" s="1"/>
    </row>
    <row r="100" spans="1:16" x14ac:dyDescent="0.2">
      <c r="A100" s="4">
        <v>46061</v>
      </c>
      <c r="B100" s="1" t="s">
        <v>14</v>
      </c>
      <c r="C100" s="1" t="s">
        <v>15</v>
      </c>
      <c r="D100" s="1">
        <v>3209</v>
      </c>
      <c r="E100" s="1" t="s">
        <v>610</v>
      </c>
      <c r="F100" s="1">
        <v>137.6</v>
      </c>
      <c r="G100" s="1">
        <v>2000</v>
      </c>
      <c r="H100" s="1">
        <v>12</v>
      </c>
      <c r="I100" s="1"/>
      <c r="J100" s="8">
        <f t="shared" si="3"/>
        <v>24000</v>
      </c>
      <c r="K100" s="27">
        <f t="shared" ref="K100:K163" si="4">IFERROR(L100/(F100-O100)*100%,0)</f>
        <v>8.7209302325581394E-3</v>
      </c>
      <c r="L100" s="1">
        <v>1.2</v>
      </c>
      <c r="M100" s="1"/>
      <c r="N100" s="1"/>
      <c r="O100" s="1"/>
      <c r="P100" s="1"/>
    </row>
    <row r="101" spans="1:16" x14ac:dyDescent="0.2">
      <c r="A101" s="4">
        <v>46061</v>
      </c>
      <c r="B101" s="1" t="s">
        <v>14</v>
      </c>
      <c r="C101" s="1" t="s">
        <v>20</v>
      </c>
      <c r="D101" s="1">
        <v>3629</v>
      </c>
      <c r="E101" s="1" t="s">
        <v>606</v>
      </c>
      <c r="F101" s="1">
        <v>103.7</v>
      </c>
      <c r="G101" s="1">
        <v>600</v>
      </c>
      <c r="H101" s="1">
        <v>9</v>
      </c>
      <c r="I101" s="1"/>
      <c r="J101" s="8">
        <f t="shared" si="3"/>
        <v>5400</v>
      </c>
      <c r="K101" s="27">
        <f t="shared" si="4"/>
        <v>2.8929604628736738E-3</v>
      </c>
      <c r="L101" s="1">
        <v>0.3</v>
      </c>
      <c r="M101" s="1"/>
      <c r="N101" s="1"/>
      <c r="O101" s="1"/>
      <c r="P101" s="1"/>
    </row>
    <row r="102" spans="1:16" x14ac:dyDescent="0.2">
      <c r="A102" s="4">
        <v>46061</v>
      </c>
      <c r="B102" s="1" t="s">
        <v>14</v>
      </c>
      <c r="C102" s="1" t="s">
        <v>20</v>
      </c>
      <c r="D102" s="1">
        <v>3633</v>
      </c>
      <c r="E102" s="1" t="s">
        <v>611</v>
      </c>
      <c r="F102" s="1">
        <v>210.4</v>
      </c>
      <c r="G102" s="1">
        <v>1000</v>
      </c>
      <c r="H102" s="1">
        <v>30</v>
      </c>
      <c r="I102" s="1"/>
      <c r="J102" s="8">
        <f t="shared" si="3"/>
        <v>30000</v>
      </c>
      <c r="K102" s="27">
        <f t="shared" si="4"/>
        <v>9.9809885931558939E-3</v>
      </c>
      <c r="L102" s="1">
        <v>2.1</v>
      </c>
      <c r="M102" s="1"/>
      <c r="N102" s="1"/>
      <c r="O102" s="1"/>
      <c r="P102" s="1" t="s">
        <v>612</v>
      </c>
    </row>
    <row r="103" spans="1:16" x14ac:dyDescent="0.2">
      <c r="A103" s="4">
        <v>46061</v>
      </c>
      <c r="B103" s="1" t="s">
        <v>14</v>
      </c>
      <c r="C103" s="1" t="s">
        <v>20</v>
      </c>
      <c r="D103" s="1">
        <v>3705</v>
      </c>
      <c r="E103" s="1" t="s">
        <v>176</v>
      </c>
      <c r="F103" s="1">
        <v>29</v>
      </c>
      <c r="G103" s="1">
        <v>1000</v>
      </c>
      <c r="H103" s="1">
        <v>5</v>
      </c>
      <c r="I103" s="1"/>
      <c r="J103" s="8">
        <f t="shared" si="3"/>
        <v>5000</v>
      </c>
      <c r="K103" s="27">
        <f t="shared" si="4"/>
        <v>0</v>
      </c>
      <c r="L103" s="1"/>
      <c r="M103" s="1"/>
      <c r="N103" s="1"/>
      <c r="O103" s="1"/>
      <c r="P103" s="1" t="s">
        <v>613</v>
      </c>
    </row>
    <row r="104" spans="1:16" x14ac:dyDescent="0.2">
      <c r="A104" s="4">
        <v>46061</v>
      </c>
      <c r="B104" s="1" t="s">
        <v>14</v>
      </c>
      <c r="C104" s="1" t="s">
        <v>20</v>
      </c>
      <c r="D104" s="1">
        <v>3617</v>
      </c>
      <c r="E104" s="1" t="s">
        <v>319</v>
      </c>
      <c r="F104" s="1">
        <v>194.9</v>
      </c>
      <c r="G104" s="1">
        <v>1500</v>
      </c>
      <c r="H104" s="1">
        <v>17</v>
      </c>
      <c r="I104" s="1">
        <v>500</v>
      </c>
      <c r="J104" s="8">
        <f t="shared" si="3"/>
        <v>26000</v>
      </c>
      <c r="K104" s="27">
        <f t="shared" si="4"/>
        <v>3.5915854284248329E-3</v>
      </c>
      <c r="L104" s="1">
        <v>0.7</v>
      </c>
      <c r="M104" s="1"/>
      <c r="N104" s="1"/>
      <c r="O104" s="1"/>
      <c r="P104" s="1"/>
    </row>
    <row r="105" spans="1:16" x14ac:dyDescent="0.2">
      <c r="A105" s="4">
        <v>46061</v>
      </c>
      <c r="B105" s="1" t="s">
        <v>14</v>
      </c>
      <c r="C105" s="1" t="s">
        <v>20</v>
      </c>
      <c r="D105" s="1">
        <v>3724</v>
      </c>
      <c r="E105" s="1" t="s">
        <v>297</v>
      </c>
      <c r="F105" s="1">
        <v>185.4</v>
      </c>
      <c r="G105" s="1">
        <v>1500</v>
      </c>
      <c r="H105" s="1">
        <v>14</v>
      </c>
      <c r="I105" s="1"/>
      <c r="J105" s="8">
        <f t="shared" si="3"/>
        <v>21000</v>
      </c>
      <c r="K105" s="27">
        <f t="shared" si="4"/>
        <v>4.3149946062567427E-3</v>
      </c>
      <c r="L105" s="1">
        <v>0.8</v>
      </c>
      <c r="M105" s="1"/>
      <c r="N105" s="1"/>
      <c r="O105" s="1"/>
      <c r="P105" s="1"/>
    </row>
    <row r="106" spans="1:16" x14ac:dyDescent="0.2">
      <c r="A106" s="4">
        <v>46061</v>
      </c>
      <c r="B106" s="1" t="s">
        <v>14</v>
      </c>
      <c r="C106" s="1" t="s">
        <v>24</v>
      </c>
      <c r="D106" s="1">
        <v>3681</v>
      </c>
      <c r="E106" s="1" t="s">
        <v>46</v>
      </c>
      <c r="F106" s="1">
        <v>107.2</v>
      </c>
      <c r="G106" s="1">
        <v>250</v>
      </c>
      <c r="H106" s="1">
        <v>6</v>
      </c>
      <c r="I106" s="1">
        <v>50</v>
      </c>
      <c r="J106" s="8">
        <f t="shared" si="3"/>
        <v>1550</v>
      </c>
      <c r="K106" s="27">
        <f t="shared" si="4"/>
        <v>0</v>
      </c>
      <c r="L106" s="1"/>
      <c r="M106" s="1">
        <v>2.4</v>
      </c>
      <c r="N106" s="1"/>
      <c r="O106" s="1"/>
      <c r="P106" s="1" t="s">
        <v>614</v>
      </c>
    </row>
    <row r="107" spans="1:16" x14ac:dyDescent="0.2">
      <c r="A107" s="4">
        <v>46061</v>
      </c>
      <c r="B107" s="1" t="s">
        <v>14</v>
      </c>
      <c r="C107" s="1" t="s">
        <v>24</v>
      </c>
      <c r="D107" s="1">
        <v>3507</v>
      </c>
      <c r="E107" s="1" t="s">
        <v>78</v>
      </c>
      <c r="F107" s="1">
        <v>423.2</v>
      </c>
      <c r="G107" s="1">
        <v>1500</v>
      </c>
      <c r="H107" s="1">
        <v>49</v>
      </c>
      <c r="I107" s="1"/>
      <c r="J107" s="8">
        <f t="shared" si="3"/>
        <v>73500</v>
      </c>
      <c r="K107" s="27">
        <f t="shared" si="4"/>
        <v>0</v>
      </c>
      <c r="L107" s="1"/>
      <c r="M107" s="1">
        <v>10.199999999999999</v>
      </c>
      <c r="N107" s="1"/>
      <c r="O107" s="1"/>
      <c r="P107" s="1"/>
    </row>
    <row r="108" spans="1:16" x14ac:dyDescent="0.2">
      <c r="A108" s="4">
        <v>46061</v>
      </c>
      <c r="B108" s="1" t="s">
        <v>14</v>
      </c>
      <c r="C108" s="1" t="s">
        <v>27</v>
      </c>
      <c r="D108" s="1">
        <v>3461</v>
      </c>
      <c r="E108" s="1" t="s">
        <v>608</v>
      </c>
      <c r="F108" s="1">
        <v>194.6</v>
      </c>
      <c r="G108" s="1">
        <v>500</v>
      </c>
      <c r="H108" s="1">
        <v>34</v>
      </c>
      <c r="I108" s="1"/>
      <c r="J108" s="8">
        <f t="shared" si="3"/>
        <v>17000</v>
      </c>
      <c r="K108" s="27">
        <f t="shared" si="4"/>
        <v>2.8776978417266185E-2</v>
      </c>
      <c r="L108" s="1">
        <v>5.6</v>
      </c>
      <c r="M108" s="1"/>
      <c r="N108" s="1"/>
      <c r="O108" s="1"/>
      <c r="P108" s="1"/>
    </row>
    <row r="109" spans="1:16" x14ac:dyDescent="0.2">
      <c r="A109" s="4">
        <v>46061</v>
      </c>
      <c r="B109" s="1" t="s">
        <v>14</v>
      </c>
      <c r="C109" s="1" t="s">
        <v>27</v>
      </c>
      <c r="D109" s="1">
        <v>3620</v>
      </c>
      <c r="E109" s="1" t="s">
        <v>574</v>
      </c>
      <c r="F109" s="1">
        <v>54.5</v>
      </c>
      <c r="G109" s="1">
        <v>3200</v>
      </c>
      <c r="H109" s="1">
        <v>8</v>
      </c>
      <c r="I109" s="1"/>
      <c r="J109" s="8">
        <f t="shared" si="3"/>
        <v>25600</v>
      </c>
      <c r="K109" s="27">
        <f t="shared" si="4"/>
        <v>2.0183486238532111E-2</v>
      </c>
      <c r="L109" s="1">
        <v>1.1000000000000001</v>
      </c>
      <c r="M109" s="1"/>
      <c r="N109" s="1"/>
      <c r="O109" s="1"/>
      <c r="P109" s="1"/>
    </row>
    <row r="110" spans="1:16" x14ac:dyDescent="0.2">
      <c r="A110" s="4">
        <v>46061</v>
      </c>
      <c r="B110" s="1" t="s">
        <v>14</v>
      </c>
      <c r="C110" s="1" t="s">
        <v>33</v>
      </c>
      <c r="D110" s="1">
        <v>3509</v>
      </c>
      <c r="E110" s="1" t="s">
        <v>107</v>
      </c>
      <c r="F110" s="1"/>
      <c r="G110" s="1">
        <v>500</v>
      </c>
      <c r="H110" s="1">
        <v>2</v>
      </c>
      <c r="I110" s="1"/>
      <c r="J110" s="8">
        <f t="shared" si="3"/>
        <v>1000</v>
      </c>
      <c r="K110" s="27">
        <f t="shared" si="4"/>
        <v>0</v>
      </c>
      <c r="L110" s="1"/>
      <c r="M110" s="1">
        <v>0.4</v>
      </c>
      <c r="N110" s="1"/>
      <c r="O110" s="1">
        <v>2.6</v>
      </c>
      <c r="P110" s="1"/>
    </row>
    <row r="111" spans="1:16" x14ac:dyDescent="0.2">
      <c r="A111" s="4">
        <v>46061</v>
      </c>
      <c r="B111" s="1" t="s">
        <v>14</v>
      </c>
      <c r="C111" s="1" t="s">
        <v>33</v>
      </c>
      <c r="D111" s="1">
        <v>3638</v>
      </c>
      <c r="E111" s="1" t="s">
        <v>615</v>
      </c>
      <c r="F111" s="1">
        <v>105.9</v>
      </c>
      <c r="G111" s="1">
        <v>600</v>
      </c>
      <c r="H111" s="1">
        <v>6</v>
      </c>
      <c r="I111" s="1">
        <v>450</v>
      </c>
      <c r="J111" s="8">
        <f t="shared" si="3"/>
        <v>4050</v>
      </c>
      <c r="K111" s="27">
        <f t="shared" si="4"/>
        <v>0.11689691817215726</v>
      </c>
      <c r="L111" s="1">
        <v>11</v>
      </c>
      <c r="M111" s="1"/>
      <c r="N111" s="1"/>
      <c r="O111" s="1">
        <v>11.8</v>
      </c>
      <c r="P111" s="1"/>
    </row>
    <row r="112" spans="1:16" x14ac:dyDescent="0.2">
      <c r="A112" s="4">
        <v>46061</v>
      </c>
      <c r="B112" s="1" t="s">
        <v>14</v>
      </c>
      <c r="C112" s="1" t="s">
        <v>33</v>
      </c>
      <c r="D112" s="1">
        <v>3379</v>
      </c>
      <c r="E112" s="1" t="s">
        <v>616</v>
      </c>
      <c r="F112" s="1">
        <v>1022</v>
      </c>
      <c r="G112" s="1">
        <v>500</v>
      </c>
      <c r="H112" s="1">
        <v>121</v>
      </c>
      <c r="I112" s="1"/>
      <c r="J112" s="8">
        <f t="shared" si="3"/>
        <v>60500</v>
      </c>
      <c r="K112" s="27">
        <f t="shared" si="4"/>
        <v>1.4570724052902936E-2</v>
      </c>
      <c r="L112" s="1">
        <v>13</v>
      </c>
      <c r="M112" s="1">
        <v>6</v>
      </c>
      <c r="N112" s="1">
        <v>6.8</v>
      </c>
      <c r="O112" s="1">
        <v>129.80000000000001</v>
      </c>
      <c r="P112" s="1"/>
    </row>
    <row r="113" spans="1:16" x14ac:dyDescent="0.2">
      <c r="A113" s="4">
        <v>46062</v>
      </c>
      <c r="B113" s="18" t="s">
        <v>40</v>
      </c>
      <c r="C113" s="18" t="s">
        <v>15</v>
      </c>
      <c r="D113" s="18">
        <v>3209</v>
      </c>
      <c r="E113" s="18" t="s">
        <v>617</v>
      </c>
      <c r="F113" s="18">
        <v>140.5</v>
      </c>
      <c r="G113" s="18">
        <v>2000</v>
      </c>
      <c r="H113" s="18">
        <v>17</v>
      </c>
      <c r="I113" s="18">
        <v>1950</v>
      </c>
      <c r="J113" s="8">
        <f t="shared" si="3"/>
        <v>35950</v>
      </c>
      <c r="K113" s="27">
        <f t="shared" si="4"/>
        <v>2.8469750889679717E-3</v>
      </c>
      <c r="L113" s="18">
        <v>0.4</v>
      </c>
      <c r="M113" s="18"/>
      <c r="N113" s="18"/>
      <c r="O113" s="18"/>
      <c r="P113" s="18"/>
    </row>
    <row r="114" spans="1:16" x14ac:dyDescent="0.2">
      <c r="A114" s="4">
        <v>46062</v>
      </c>
      <c r="B114" s="18" t="s">
        <v>40</v>
      </c>
      <c r="C114" s="18" t="s">
        <v>20</v>
      </c>
      <c r="D114" s="18">
        <v>3724</v>
      </c>
      <c r="E114" s="18" t="s">
        <v>297</v>
      </c>
      <c r="F114" s="18">
        <v>757.5</v>
      </c>
      <c r="G114" s="18">
        <v>1500</v>
      </c>
      <c r="H114" s="18">
        <v>65</v>
      </c>
      <c r="I114" s="18">
        <v>1250</v>
      </c>
      <c r="J114" s="8">
        <f t="shared" si="3"/>
        <v>98750</v>
      </c>
      <c r="K114" s="27">
        <f t="shared" si="4"/>
        <v>4.356435643564356E-3</v>
      </c>
      <c r="L114" s="18">
        <v>3.3</v>
      </c>
      <c r="M114" s="18"/>
      <c r="N114" s="18"/>
      <c r="O114" s="18"/>
      <c r="P114" s="18"/>
    </row>
    <row r="115" spans="1:16" x14ac:dyDescent="0.2">
      <c r="A115" s="4">
        <v>46062</v>
      </c>
      <c r="B115" s="18" t="s">
        <v>40</v>
      </c>
      <c r="C115" s="18" t="s">
        <v>27</v>
      </c>
      <c r="D115" s="18">
        <v>3620</v>
      </c>
      <c r="E115" s="18" t="s">
        <v>574</v>
      </c>
      <c r="F115" s="18">
        <v>83.8</v>
      </c>
      <c r="G115" s="18">
        <v>3200</v>
      </c>
      <c r="H115" s="18">
        <v>10</v>
      </c>
      <c r="I115" s="18"/>
      <c r="J115" s="8">
        <f t="shared" si="3"/>
        <v>32000</v>
      </c>
      <c r="K115" s="27">
        <f t="shared" si="4"/>
        <v>2.3866348448687352E-3</v>
      </c>
      <c r="L115" s="18">
        <v>0.2</v>
      </c>
      <c r="M115" s="18"/>
      <c r="N115" s="18"/>
      <c r="O115" s="18"/>
      <c r="P115" s="18"/>
    </row>
    <row r="116" spans="1:16" x14ac:dyDescent="0.2">
      <c r="A116" s="4">
        <v>46062</v>
      </c>
      <c r="B116" s="18" t="s">
        <v>40</v>
      </c>
      <c r="C116" s="18" t="s">
        <v>33</v>
      </c>
      <c r="D116" s="18">
        <v>3490</v>
      </c>
      <c r="E116" s="18" t="s">
        <v>384</v>
      </c>
      <c r="F116" s="18">
        <v>633.70000000000005</v>
      </c>
      <c r="G116" s="18">
        <v>500</v>
      </c>
      <c r="H116" s="18">
        <v>65</v>
      </c>
      <c r="I116" s="18">
        <v>130</v>
      </c>
      <c r="J116" s="8">
        <f t="shared" si="3"/>
        <v>32630</v>
      </c>
      <c r="K116" s="27">
        <f t="shared" si="4"/>
        <v>1.4228383801532286E-2</v>
      </c>
      <c r="L116" s="18">
        <v>7.8</v>
      </c>
      <c r="M116" s="18">
        <v>8.1999999999999993</v>
      </c>
      <c r="N116" s="18">
        <v>7.8</v>
      </c>
      <c r="O116" s="18">
        <v>85.5</v>
      </c>
      <c r="P116" s="18"/>
    </row>
    <row r="117" spans="1:16" x14ac:dyDescent="0.2">
      <c r="A117" s="4">
        <v>46062</v>
      </c>
      <c r="B117" s="18" t="s">
        <v>40</v>
      </c>
      <c r="C117" s="18" t="s">
        <v>24</v>
      </c>
      <c r="D117" s="18">
        <v>3507</v>
      </c>
      <c r="E117" s="18" t="s">
        <v>78</v>
      </c>
      <c r="F117" s="18">
        <v>86</v>
      </c>
      <c r="G117" s="18">
        <v>1500</v>
      </c>
      <c r="H117" s="18">
        <v>7</v>
      </c>
      <c r="I117" s="18">
        <v>1080</v>
      </c>
      <c r="J117" s="8">
        <f t="shared" si="3"/>
        <v>11580</v>
      </c>
      <c r="K117" s="27">
        <f t="shared" si="4"/>
        <v>0</v>
      </c>
      <c r="L117" s="18"/>
      <c r="M117" s="18">
        <v>0.6</v>
      </c>
      <c r="N117" s="18"/>
      <c r="O117" s="18"/>
      <c r="P117" s="18"/>
    </row>
    <row r="118" spans="1:16" x14ac:dyDescent="0.2">
      <c r="A118" s="4">
        <v>46062</v>
      </c>
      <c r="B118" s="18" t="s">
        <v>40</v>
      </c>
      <c r="C118" s="18" t="s">
        <v>27</v>
      </c>
      <c r="D118" s="18">
        <v>3451</v>
      </c>
      <c r="E118" s="18" t="s">
        <v>618</v>
      </c>
      <c r="F118" s="18">
        <v>332.6</v>
      </c>
      <c r="G118" s="18">
        <v>250</v>
      </c>
      <c r="H118" s="18">
        <v>15</v>
      </c>
      <c r="I118" s="18">
        <v>125</v>
      </c>
      <c r="J118" s="8">
        <f t="shared" si="3"/>
        <v>3875</v>
      </c>
      <c r="K118" s="27">
        <f t="shared" si="4"/>
        <v>1.8108023727755228E-2</v>
      </c>
      <c r="L118" s="18">
        <v>5.8</v>
      </c>
      <c r="M118" s="18">
        <v>14.2</v>
      </c>
      <c r="N118" s="18"/>
      <c r="O118" s="18">
        <v>12.3</v>
      </c>
      <c r="P118" s="18"/>
    </row>
    <row r="119" spans="1:16" x14ac:dyDescent="0.2">
      <c r="A119" s="4">
        <v>46062</v>
      </c>
      <c r="B119" s="18" t="s">
        <v>40</v>
      </c>
      <c r="C119" s="18" t="s">
        <v>27</v>
      </c>
      <c r="D119" s="18">
        <v>3448</v>
      </c>
      <c r="E119" s="18" t="s">
        <v>618</v>
      </c>
      <c r="F119" s="18">
        <v>277.7</v>
      </c>
      <c r="G119" s="18">
        <v>250</v>
      </c>
      <c r="H119" s="18">
        <v>13</v>
      </c>
      <c r="I119" s="18">
        <v>95</v>
      </c>
      <c r="J119" s="8">
        <f t="shared" si="3"/>
        <v>3345</v>
      </c>
      <c r="K119" s="27">
        <f t="shared" si="4"/>
        <v>9.2343208926510198E-3</v>
      </c>
      <c r="L119" s="18">
        <v>2.4</v>
      </c>
      <c r="M119" s="18">
        <v>10.8</v>
      </c>
      <c r="N119" s="18"/>
      <c r="O119" s="18">
        <v>17.8</v>
      </c>
      <c r="P119" s="18"/>
    </row>
    <row r="120" spans="1:16" x14ac:dyDescent="0.2">
      <c r="A120" s="4">
        <v>46062</v>
      </c>
      <c r="B120" s="18" t="s">
        <v>40</v>
      </c>
      <c r="C120" s="18" t="s">
        <v>27</v>
      </c>
      <c r="D120" s="18">
        <v>3447</v>
      </c>
      <c r="E120" s="18" t="s">
        <v>618</v>
      </c>
      <c r="F120" s="18">
        <v>219.9</v>
      </c>
      <c r="G120" s="18">
        <v>250</v>
      </c>
      <c r="H120" s="18">
        <v>10</v>
      </c>
      <c r="I120" s="18">
        <v>175</v>
      </c>
      <c r="J120" s="8">
        <f t="shared" si="3"/>
        <v>2675</v>
      </c>
      <c r="K120" s="27">
        <f t="shared" si="4"/>
        <v>6.8212824010914054E-3</v>
      </c>
      <c r="L120" s="18">
        <v>1.5</v>
      </c>
      <c r="M120" s="18">
        <v>9.5</v>
      </c>
      <c r="N120" s="18"/>
      <c r="O120" s="18"/>
      <c r="P120" s="18"/>
    </row>
    <row r="121" spans="1:16" x14ac:dyDescent="0.2">
      <c r="A121" s="4">
        <v>46062</v>
      </c>
      <c r="B121" s="18" t="s">
        <v>40</v>
      </c>
      <c r="C121" s="18" t="s">
        <v>15</v>
      </c>
      <c r="D121" s="18">
        <v>3797</v>
      </c>
      <c r="E121" s="18" t="s">
        <v>619</v>
      </c>
      <c r="F121" s="18">
        <v>326.8</v>
      </c>
      <c r="G121" s="18">
        <v>250</v>
      </c>
      <c r="H121" s="18">
        <v>16</v>
      </c>
      <c r="I121" s="18"/>
      <c r="J121" s="8">
        <f t="shared" si="3"/>
        <v>4000</v>
      </c>
      <c r="K121" s="27">
        <f t="shared" si="4"/>
        <v>1.4075887392900855E-2</v>
      </c>
      <c r="L121" s="18">
        <v>4.5999999999999996</v>
      </c>
      <c r="M121" s="18"/>
      <c r="N121" s="18"/>
      <c r="O121" s="18"/>
      <c r="P121" s="18"/>
    </row>
    <row r="122" spans="1:16" x14ac:dyDescent="0.2">
      <c r="A122" s="4">
        <v>46062</v>
      </c>
      <c r="B122" s="18" t="s">
        <v>40</v>
      </c>
      <c r="C122" s="18" t="s">
        <v>15</v>
      </c>
      <c r="D122" s="18">
        <v>3796</v>
      </c>
      <c r="E122" s="18" t="s">
        <v>620</v>
      </c>
      <c r="F122" s="18">
        <v>217.8</v>
      </c>
      <c r="G122" s="18">
        <v>500</v>
      </c>
      <c r="H122" s="18">
        <v>14</v>
      </c>
      <c r="I122" s="18"/>
      <c r="J122" s="8">
        <f t="shared" si="3"/>
        <v>7000</v>
      </c>
      <c r="K122" s="27">
        <f t="shared" si="4"/>
        <v>1.0560146923783285E-2</v>
      </c>
      <c r="L122" s="18">
        <v>2.2999999999999998</v>
      </c>
      <c r="M122" s="18"/>
      <c r="N122" s="18"/>
      <c r="O122" s="18"/>
      <c r="P122" s="18"/>
    </row>
    <row r="123" spans="1:16" x14ac:dyDescent="0.2">
      <c r="A123" s="4">
        <v>46062</v>
      </c>
      <c r="B123" s="18" t="s">
        <v>40</v>
      </c>
      <c r="C123" s="18" t="s">
        <v>24</v>
      </c>
      <c r="D123" s="18">
        <v>3747</v>
      </c>
      <c r="E123" s="18" t="s">
        <v>621</v>
      </c>
      <c r="F123" s="18">
        <v>255.7</v>
      </c>
      <c r="G123" s="18">
        <v>800</v>
      </c>
      <c r="H123" s="18">
        <v>22</v>
      </c>
      <c r="I123" s="18"/>
      <c r="J123" s="8">
        <f t="shared" si="3"/>
        <v>17600</v>
      </c>
      <c r="K123" s="27">
        <f t="shared" si="4"/>
        <v>3.9108330074305829E-3</v>
      </c>
      <c r="L123" s="18">
        <v>1</v>
      </c>
      <c r="M123" s="18"/>
      <c r="N123" s="18"/>
      <c r="O123" s="18"/>
      <c r="P123" s="18"/>
    </row>
    <row r="124" spans="1:16" x14ac:dyDescent="0.2">
      <c r="A124" s="4">
        <v>46062</v>
      </c>
      <c r="B124" s="18" t="s">
        <v>40</v>
      </c>
      <c r="C124" s="18" t="s">
        <v>33</v>
      </c>
      <c r="D124" s="18">
        <v>3592</v>
      </c>
      <c r="E124" s="18" t="s">
        <v>622</v>
      </c>
      <c r="F124" s="18">
        <v>254.2</v>
      </c>
      <c r="G124" s="18">
        <v>1000</v>
      </c>
      <c r="H124" s="18">
        <v>22</v>
      </c>
      <c r="I124" s="18">
        <v>375</v>
      </c>
      <c r="J124" s="8">
        <f t="shared" si="3"/>
        <v>22375</v>
      </c>
      <c r="K124" s="27">
        <f t="shared" si="4"/>
        <v>1.2578616352201257E-2</v>
      </c>
      <c r="L124" s="18">
        <v>2.8</v>
      </c>
      <c r="M124" s="18">
        <v>1.8</v>
      </c>
      <c r="N124" s="18">
        <v>6.8</v>
      </c>
      <c r="O124" s="18">
        <v>31.6</v>
      </c>
      <c r="P124" s="18"/>
    </row>
    <row r="125" spans="1:16" x14ac:dyDescent="0.2">
      <c r="A125" s="4">
        <v>46062</v>
      </c>
      <c r="B125" s="18" t="s">
        <v>40</v>
      </c>
      <c r="C125" s="18" t="s">
        <v>37</v>
      </c>
      <c r="D125" s="18">
        <v>3451</v>
      </c>
      <c r="E125" s="18" t="s">
        <v>623</v>
      </c>
      <c r="F125" s="18"/>
      <c r="G125" s="18">
        <v>250</v>
      </c>
      <c r="H125" s="18">
        <v>6</v>
      </c>
      <c r="I125" s="18">
        <v>100</v>
      </c>
      <c r="J125" s="8">
        <f t="shared" si="3"/>
        <v>1600</v>
      </c>
      <c r="K125" s="27">
        <f t="shared" si="4"/>
        <v>0</v>
      </c>
      <c r="L125" s="18"/>
      <c r="M125" s="18"/>
      <c r="N125" s="18"/>
      <c r="O125" s="18"/>
      <c r="P125" s="18"/>
    </row>
    <row r="126" spans="1:16" x14ac:dyDescent="0.2">
      <c r="A126" s="4">
        <v>46062</v>
      </c>
      <c r="B126" s="18" t="s">
        <v>40</v>
      </c>
      <c r="C126" s="18" t="s">
        <v>20</v>
      </c>
      <c r="D126" s="18">
        <v>3661</v>
      </c>
      <c r="E126" s="18" t="s">
        <v>198</v>
      </c>
      <c r="F126" s="18">
        <v>232.2</v>
      </c>
      <c r="G126" s="18">
        <v>1500</v>
      </c>
      <c r="H126" s="18">
        <v>16</v>
      </c>
      <c r="I126" s="18"/>
      <c r="J126" s="8">
        <f t="shared" si="3"/>
        <v>24000</v>
      </c>
      <c r="K126" s="27">
        <f t="shared" si="4"/>
        <v>3.4453057708871667E-3</v>
      </c>
      <c r="L126" s="18">
        <v>0.8</v>
      </c>
      <c r="M126" s="18"/>
      <c r="N126" s="18"/>
      <c r="O126" s="18"/>
      <c r="P126" s="18"/>
    </row>
    <row r="127" spans="1:16" x14ac:dyDescent="0.2">
      <c r="A127" s="4">
        <v>46063</v>
      </c>
      <c r="B127" s="1" t="s">
        <v>54</v>
      </c>
      <c r="C127" s="18" t="s">
        <v>20</v>
      </c>
      <c r="D127" s="18">
        <v>3661</v>
      </c>
      <c r="E127" s="18" t="s">
        <v>198</v>
      </c>
      <c r="F127" s="18">
        <v>567.29999999999995</v>
      </c>
      <c r="G127" s="18">
        <v>1500</v>
      </c>
      <c r="H127" s="18">
        <v>48</v>
      </c>
      <c r="I127" s="18">
        <v>430</v>
      </c>
      <c r="J127" s="8">
        <f t="shared" si="3"/>
        <v>72430</v>
      </c>
      <c r="K127" s="27">
        <f t="shared" si="4"/>
        <v>5.1119337211352018E-3</v>
      </c>
      <c r="L127" s="18">
        <v>2.9</v>
      </c>
      <c r="M127" s="18"/>
      <c r="N127" s="18"/>
      <c r="O127" s="18"/>
      <c r="P127" s="18"/>
    </row>
    <row r="128" spans="1:16" x14ac:dyDescent="0.2">
      <c r="A128" s="4">
        <v>46063</v>
      </c>
      <c r="B128" s="1" t="s">
        <v>54</v>
      </c>
      <c r="C128" s="18" t="s">
        <v>15</v>
      </c>
      <c r="D128" s="18">
        <v>3796</v>
      </c>
      <c r="E128" s="18" t="s">
        <v>620</v>
      </c>
      <c r="F128" s="18">
        <v>83.1</v>
      </c>
      <c r="G128" s="18">
        <v>500</v>
      </c>
      <c r="H128" s="18">
        <v>5</v>
      </c>
      <c r="I128" s="18"/>
      <c r="J128" s="8">
        <f t="shared" si="3"/>
        <v>2500</v>
      </c>
      <c r="K128" s="27">
        <f t="shared" si="4"/>
        <v>0</v>
      </c>
      <c r="L128" s="18"/>
      <c r="M128" s="18"/>
      <c r="N128" s="18"/>
      <c r="O128" s="18"/>
      <c r="P128" s="18"/>
    </row>
    <row r="129" spans="1:16" x14ac:dyDescent="0.2">
      <c r="A129" s="4">
        <v>46063</v>
      </c>
      <c r="B129" s="1" t="s">
        <v>54</v>
      </c>
      <c r="C129" s="18" t="s">
        <v>24</v>
      </c>
      <c r="D129" s="18">
        <v>3747</v>
      </c>
      <c r="E129" s="18" t="s">
        <v>621</v>
      </c>
      <c r="F129" s="18">
        <v>280</v>
      </c>
      <c r="G129" s="18">
        <v>800</v>
      </c>
      <c r="H129" s="18">
        <v>23</v>
      </c>
      <c r="I129" s="18"/>
      <c r="J129" s="8">
        <f t="shared" si="3"/>
        <v>18400</v>
      </c>
      <c r="K129" s="27">
        <f t="shared" si="4"/>
        <v>1.4285714285714286E-3</v>
      </c>
      <c r="L129" s="18">
        <v>0.4</v>
      </c>
      <c r="M129" s="18"/>
      <c r="N129" s="18"/>
      <c r="O129" s="18"/>
      <c r="P129" s="18"/>
    </row>
    <row r="130" spans="1:16" x14ac:dyDescent="0.2">
      <c r="A130" s="4">
        <v>46063</v>
      </c>
      <c r="B130" s="1" t="s">
        <v>54</v>
      </c>
      <c r="C130" s="18" t="s">
        <v>27</v>
      </c>
      <c r="D130" s="18">
        <v>3620</v>
      </c>
      <c r="E130" s="18" t="s">
        <v>574</v>
      </c>
      <c r="F130" s="18">
        <v>141.30000000000001</v>
      </c>
      <c r="G130" s="18">
        <v>3200</v>
      </c>
      <c r="H130" s="18">
        <v>25</v>
      </c>
      <c r="I130" s="18">
        <v>2600</v>
      </c>
      <c r="J130" s="8">
        <f t="shared" ref="J130:J193" si="5">G130*H130+I130</f>
        <v>82600</v>
      </c>
      <c r="K130" s="27">
        <f t="shared" si="4"/>
        <v>8.4925690021231421E-3</v>
      </c>
      <c r="L130" s="18">
        <v>1.2</v>
      </c>
      <c r="M130" s="18"/>
      <c r="N130" s="18"/>
      <c r="O130" s="18"/>
      <c r="P130" s="18"/>
    </row>
    <row r="131" spans="1:16" x14ac:dyDescent="0.2">
      <c r="A131" s="4">
        <v>46063</v>
      </c>
      <c r="B131" s="1" t="s">
        <v>54</v>
      </c>
      <c r="C131" s="18" t="s">
        <v>37</v>
      </c>
      <c r="D131" s="18">
        <v>3451</v>
      </c>
      <c r="E131" s="18" t="s">
        <v>623</v>
      </c>
      <c r="F131" s="18"/>
      <c r="G131" s="18">
        <v>250</v>
      </c>
      <c r="H131" s="18">
        <v>9</v>
      </c>
      <c r="I131" s="18">
        <v>25</v>
      </c>
      <c r="J131" s="8">
        <f t="shared" si="5"/>
        <v>2275</v>
      </c>
      <c r="K131" s="27">
        <f t="shared" si="4"/>
        <v>0</v>
      </c>
      <c r="L131" s="18"/>
      <c r="M131" s="18"/>
      <c r="N131" s="18"/>
      <c r="O131" s="18"/>
      <c r="P131" s="18"/>
    </row>
    <row r="132" spans="1:16" x14ac:dyDescent="0.2">
      <c r="A132" s="4">
        <v>46063</v>
      </c>
      <c r="B132" s="1" t="s">
        <v>54</v>
      </c>
      <c r="C132" s="18" t="s">
        <v>33</v>
      </c>
      <c r="D132" s="18">
        <v>3593</v>
      </c>
      <c r="E132" s="18" t="s">
        <v>624</v>
      </c>
      <c r="F132" s="18">
        <v>239.5</v>
      </c>
      <c r="G132" s="18">
        <v>500</v>
      </c>
      <c r="H132" s="18">
        <v>22</v>
      </c>
      <c r="I132" s="18">
        <v>350</v>
      </c>
      <c r="J132" s="8">
        <f t="shared" si="5"/>
        <v>11350</v>
      </c>
      <c r="K132" s="27">
        <f t="shared" si="4"/>
        <v>3.3317467872441699E-2</v>
      </c>
      <c r="L132" s="18">
        <v>7</v>
      </c>
      <c r="M132" s="18">
        <v>0.5</v>
      </c>
      <c r="N132" s="18"/>
      <c r="O132" s="18">
        <v>29.4</v>
      </c>
      <c r="P132" s="18"/>
    </row>
    <row r="133" spans="1:16" x14ac:dyDescent="0.2">
      <c r="A133" s="4">
        <v>46063</v>
      </c>
      <c r="B133" s="1" t="s">
        <v>54</v>
      </c>
      <c r="C133" s="18" t="s">
        <v>15</v>
      </c>
      <c r="D133" s="18">
        <v>3449</v>
      </c>
      <c r="E133" s="18" t="s">
        <v>373</v>
      </c>
      <c r="F133" s="18">
        <v>227.5</v>
      </c>
      <c r="G133" s="18">
        <v>120</v>
      </c>
      <c r="H133" s="18">
        <v>35</v>
      </c>
      <c r="I133" s="18"/>
      <c r="J133" s="8">
        <f t="shared" si="5"/>
        <v>4200</v>
      </c>
      <c r="K133" s="27">
        <f t="shared" si="4"/>
        <v>9.2307692307692316E-3</v>
      </c>
      <c r="L133" s="18">
        <v>2.1</v>
      </c>
      <c r="M133" s="18"/>
      <c r="N133" s="18"/>
      <c r="O133" s="18"/>
      <c r="P133" s="18"/>
    </row>
    <row r="134" spans="1:16" x14ac:dyDescent="0.2">
      <c r="A134" s="4">
        <v>46063</v>
      </c>
      <c r="B134" s="1" t="s">
        <v>54</v>
      </c>
      <c r="C134" s="18" t="s">
        <v>33</v>
      </c>
      <c r="D134" s="18">
        <v>3529</v>
      </c>
      <c r="E134" s="18" t="s">
        <v>625</v>
      </c>
      <c r="F134" s="18">
        <v>607.79999999999995</v>
      </c>
      <c r="G134" s="18">
        <v>500</v>
      </c>
      <c r="H134" s="18">
        <v>39</v>
      </c>
      <c r="I134" s="18">
        <v>250</v>
      </c>
      <c r="J134" s="8">
        <f t="shared" si="5"/>
        <v>19750</v>
      </c>
      <c r="K134" s="27">
        <f t="shared" si="4"/>
        <v>1.651705565529623E-2</v>
      </c>
      <c r="L134" s="18">
        <v>9.1999999999999993</v>
      </c>
      <c r="M134" s="18"/>
      <c r="N134" s="18"/>
      <c r="O134" s="18">
        <v>50.8</v>
      </c>
      <c r="P134" s="18"/>
    </row>
    <row r="135" spans="1:16" x14ac:dyDescent="0.2">
      <c r="A135" s="4">
        <v>46063</v>
      </c>
      <c r="B135" s="1" t="s">
        <v>54</v>
      </c>
      <c r="C135" s="18" t="s">
        <v>33</v>
      </c>
      <c r="D135" s="18">
        <v>3581</v>
      </c>
      <c r="E135" s="18" t="s">
        <v>626</v>
      </c>
      <c r="F135" s="18">
        <v>216.2</v>
      </c>
      <c r="G135" s="18">
        <v>500</v>
      </c>
      <c r="H135" s="18">
        <v>20</v>
      </c>
      <c r="I135" s="18">
        <v>437</v>
      </c>
      <c r="J135" s="8">
        <f t="shared" si="5"/>
        <v>10437</v>
      </c>
      <c r="K135" s="27">
        <f t="shared" si="4"/>
        <v>4.3022035676810073E-2</v>
      </c>
      <c r="L135" s="18">
        <v>8.1999999999999993</v>
      </c>
      <c r="M135" s="18">
        <v>4.8</v>
      </c>
      <c r="N135" s="18"/>
      <c r="O135" s="18">
        <v>25.6</v>
      </c>
      <c r="P135" s="18"/>
    </row>
    <row r="136" spans="1:16" x14ac:dyDescent="0.2">
      <c r="A136" s="4">
        <v>46063</v>
      </c>
      <c r="B136" s="1" t="s">
        <v>54</v>
      </c>
      <c r="C136" s="18" t="s">
        <v>33</v>
      </c>
      <c r="D136" s="18">
        <v>3580</v>
      </c>
      <c r="E136" s="18" t="s">
        <v>627</v>
      </c>
      <c r="F136" s="18">
        <v>190</v>
      </c>
      <c r="G136" s="18">
        <v>1000</v>
      </c>
      <c r="H136" s="18">
        <v>18</v>
      </c>
      <c r="I136" s="18">
        <v>200</v>
      </c>
      <c r="J136" s="8">
        <f t="shared" si="5"/>
        <v>18200</v>
      </c>
      <c r="K136" s="27">
        <f t="shared" si="4"/>
        <v>1.6733601070950468E-2</v>
      </c>
      <c r="L136" s="18">
        <v>2.5</v>
      </c>
      <c r="M136" s="18">
        <v>1.7</v>
      </c>
      <c r="N136" s="18"/>
      <c r="O136" s="18">
        <v>40.6</v>
      </c>
      <c r="P136" s="18"/>
    </row>
    <row r="137" spans="1:16" x14ac:dyDescent="0.2">
      <c r="A137" s="4">
        <v>46063</v>
      </c>
      <c r="B137" s="1" t="s">
        <v>54</v>
      </c>
      <c r="C137" s="18" t="s">
        <v>20</v>
      </c>
      <c r="D137" s="18">
        <v>3669</v>
      </c>
      <c r="E137" s="18" t="s">
        <v>480</v>
      </c>
      <c r="F137" s="18">
        <v>201.3</v>
      </c>
      <c r="G137" s="18">
        <v>500</v>
      </c>
      <c r="H137" s="18">
        <v>13</v>
      </c>
      <c r="I137" s="18">
        <v>140</v>
      </c>
      <c r="J137" s="8">
        <f t="shared" si="5"/>
        <v>6640</v>
      </c>
      <c r="K137" s="27">
        <f t="shared" si="4"/>
        <v>3.5767511177347243E-2</v>
      </c>
      <c r="L137" s="18">
        <v>7.2</v>
      </c>
      <c r="M137" s="18"/>
      <c r="N137" s="18"/>
      <c r="O137" s="18"/>
      <c r="P137" s="18"/>
    </row>
    <row r="138" spans="1:16" x14ac:dyDescent="0.2">
      <c r="A138" s="4">
        <v>46063</v>
      </c>
      <c r="B138" s="1" t="s">
        <v>54</v>
      </c>
      <c r="C138" s="18" t="s">
        <v>20</v>
      </c>
      <c r="D138" s="18">
        <v>3705</v>
      </c>
      <c r="E138" s="18" t="s">
        <v>176</v>
      </c>
      <c r="F138" s="18">
        <v>103.7</v>
      </c>
      <c r="G138" s="18">
        <v>1000</v>
      </c>
      <c r="H138" s="18">
        <v>7</v>
      </c>
      <c r="I138" s="18"/>
      <c r="J138" s="8">
        <f t="shared" si="5"/>
        <v>7000</v>
      </c>
      <c r="K138" s="27">
        <f t="shared" si="4"/>
        <v>1.3500482160077144E-2</v>
      </c>
      <c r="L138" s="18">
        <v>1.4</v>
      </c>
      <c r="M138" s="18"/>
      <c r="N138" s="18"/>
      <c r="O138" s="18"/>
      <c r="P138" s="18"/>
    </row>
    <row r="139" spans="1:16" x14ac:dyDescent="0.2">
      <c r="A139" s="4">
        <v>46063</v>
      </c>
      <c r="B139" s="1" t="s">
        <v>54</v>
      </c>
      <c r="C139" s="18" t="s">
        <v>33</v>
      </c>
      <c r="D139" s="18">
        <v>3567</v>
      </c>
      <c r="E139" s="18" t="s">
        <v>628</v>
      </c>
      <c r="F139" s="18">
        <v>578.20000000000005</v>
      </c>
      <c r="G139" s="18">
        <v>500</v>
      </c>
      <c r="H139" s="18">
        <v>22</v>
      </c>
      <c r="I139" s="18">
        <v>78</v>
      </c>
      <c r="J139" s="8">
        <f t="shared" si="5"/>
        <v>11078</v>
      </c>
      <c r="K139" s="27">
        <f t="shared" si="4"/>
        <v>9.9350401222774148E-3</v>
      </c>
      <c r="L139" s="18">
        <v>5.2</v>
      </c>
      <c r="M139" s="18">
        <v>6.7</v>
      </c>
      <c r="N139" s="18"/>
      <c r="O139" s="18">
        <v>54.8</v>
      </c>
      <c r="P139" s="18"/>
    </row>
    <row r="140" spans="1:16" x14ac:dyDescent="0.2">
      <c r="A140" s="4">
        <v>46063</v>
      </c>
      <c r="B140" s="1" t="s">
        <v>54</v>
      </c>
      <c r="C140" s="18" t="s">
        <v>27</v>
      </c>
      <c r="D140" s="18">
        <v>3522</v>
      </c>
      <c r="E140" s="18" t="s">
        <v>629</v>
      </c>
      <c r="F140" s="18"/>
      <c r="G140" s="18">
        <v>2000</v>
      </c>
      <c r="H140" s="18">
        <v>3</v>
      </c>
      <c r="I140" s="18"/>
      <c r="J140" s="8">
        <f t="shared" si="5"/>
        <v>6000</v>
      </c>
      <c r="K140" s="27">
        <f t="shared" si="4"/>
        <v>0</v>
      </c>
      <c r="L140" s="18">
        <v>1.2</v>
      </c>
      <c r="M140" s="18"/>
      <c r="N140" s="18"/>
      <c r="O140" s="18"/>
      <c r="P140" s="18"/>
    </row>
    <row r="141" spans="1:16" x14ac:dyDescent="0.2">
      <c r="A141" s="4">
        <v>46063</v>
      </c>
      <c r="B141" s="1" t="s">
        <v>54</v>
      </c>
      <c r="C141" s="18" t="s">
        <v>37</v>
      </c>
      <c r="D141" s="18">
        <v>3547</v>
      </c>
      <c r="E141" s="18" t="s">
        <v>623</v>
      </c>
      <c r="F141" s="18"/>
      <c r="G141" s="18">
        <v>250</v>
      </c>
      <c r="H141" s="18">
        <v>3</v>
      </c>
      <c r="I141" s="18">
        <v>100</v>
      </c>
      <c r="J141" s="8">
        <f t="shared" si="5"/>
        <v>850</v>
      </c>
      <c r="K141" s="27">
        <f t="shared" si="4"/>
        <v>0</v>
      </c>
      <c r="L141" s="18"/>
      <c r="M141" s="18"/>
      <c r="N141" s="18"/>
      <c r="O141" s="18"/>
      <c r="P141" s="18"/>
    </row>
    <row r="142" spans="1:16" x14ac:dyDescent="0.2">
      <c r="A142" s="4">
        <v>46064</v>
      </c>
      <c r="B142" s="1" t="s">
        <v>14</v>
      </c>
      <c r="C142" s="18" t="s">
        <v>15</v>
      </c>
      <c r="D142" s="18">
        <v>3449</v>
      </c>
      <c r="E142" s="18" t="s">
        <v>373</v>
      </c>
      <c r="F142" s="18">
        <v>176.7</v>
      </c>
      <c r="G142" s="18">
        <v>120</v>
      </c>
      <c r="H142" s="18">
        <v>25</v>
      </c>
      <c r="I142" s="18"/>
      <c r="J142" s="8">
        <f t="shared" si="5"/>
        <v>3000</v>
      </c>
      <c r="K142" s="27">
        <f t="shared" si="4"/>
        <v>2.1505376344086023E-2</v>
      </c>
      <c r="L142" s="18">
        <v>3.8</v>
      </c>
      <c r="M142" s="18"/>
      <c r="N142" s="18"/>
      <c r="O142" s="18"/>
      <c r="P142" s="18"/>
    </row>
    <row r="143" spans="1:16" x14ac:dyDescent="0.2">
      <c r="A143" s="4">
        <v>46064</v>
      </c>
      <c r="B143" s="1" t="s">
        <v>14</v>
      </c>
      <c r="C143" s="18" t="s">
        <v>15</v>
      </c>
      <c r="D143" s="18">
        <v>3516</v>
      </c>
      <c r="E143" s="18" t="s">
        <v>143</v>
      </c>
      <c r="F143" s="18">
        <v>234.7</v>
      </c>
      <c r="G143" s="18">
        <v>400</v>
      </c>
      <c r="H143" s="18">
        <v>19</v>
      </c>
      <c r="I143" s="18">
        <v>220</v>
      </c>
      <c r="J143" s="8">
        <f t="shared" si="5"/>
        <v>7820</v>
      </c>
      <c r="K143" s="27">
        <f t="shared" si="4"/>
        <v>1.0225820195994887E-2</v>
      </c>
      <c r="L143" s="18">
        <v>2.4</v>
      </c>
      <c r="M143" s="18"/>
      <c r="N143" s="18"/>
      <c r="O143" s="18"/>
      <c r="P143" s="18"/>
    </row>
    <row r="144" spans="1:16" x14ac:dyDescent="0.2">
      <c r="A144" s="4">
        <v>46064</v>
      </c>
      <c r="B144" s="1" t="s">
        <v>14</v>
      </c>
      <c r="C144" s="18" t="s">
        <v>15</v>
      </c>
      <c r="D144" s="18">
        <v>3551</v>
      </c>
      <c r="E144" s="18" t="s">
        <v>143</v>
      </c>
      <c r="F144" s="18">
        <v>241.4</v>
      </c>
      <c r="G144" s="18">
        <v>500</v>
      </c>
      <c r="H144" s="18">
        <v>15</v>
      </c>
      <c r="I144" s="18">
        <v>240</v>
      </c>
      <c r="J144" s="8">
        <f t="shared" si="5"/>
        <v>7740</v>
      </c>
      <c r="K144" s="27">
        <f t="shared" si="4"/>
        <v>1.2427506213753107E-2</v>
      </c>
      <c r="L144" s="18">
        <v>3</v>
      </c>
      <c r="M144" s="18"/>
      <c r="N144" s="18"/>
      <c r="O144" s="18"/>
      <c r="P144" s="18"/>
    </row>
    <row r="145" spans="1:16" x14ac:dyDescent="0.2">
      <c r="A145" s="4">
        <v>46064</v>
      </c>
      <c r="B145" s="1" t="s">
        <v>14</v>
      </c>
      <c r="C145" s="18" t="s">
        <v>20</v>
      </c>
      <c r="D145" s="18">
        <v>3705</v>
      </c>
      <c r="E145" s="18" t="s">
        <v>176</v>
      </c>
      <c r="F145" s="18">
        <v>280</v>
      </c>
      <c r="G145" s="18">
        <v>1000</v>
      </c>
      <c r="H145" s="18">
        <v>56</v>
      </c>
      <c r="I145" s="18">
        <v>800</v>
      </c>
      <c r="J145" s="8">
        <f t="shared" si="5"/>
        <v>56800</v>
      </c>
      <c r="K145" s="27">
        <f t="shared" si="4"/>
        <v>6.7857142857142855E-3</v>
      </c>
      <c r="L145" s="18">
        <v>1.9</v>
      </c>
      <c r="M145" s="18"/>
      <c r="N145" s="18"/>
      <c r="O145" s="18"/>
      <c r="P145" s="18"/>
    </row>
    <row r="146" spans="1:16" x14ac:dyDescent="0.2">
      <c r="A146" s="4">
        <v>46064</v>
      </c>
      <c r="B146" s="1" t="s">
        <v>14</v>
      </c>
      <c r="C146" s="18" t="s">
        <v>20</v>
      </c>
      <c r="D146" s="18">
        <v>3771</v>
      </c>
      <c r="E146" s="18" t="s">
        <v>630</v>
      </c>
      <c r="F146" s="18">
        <v>114.5</v>
      </c>
      <c r="G146" s="18">
        <v>600</v>
      </c>
      <c r="H146" s="18">
        <v>10</v>
      </c>
      <c r="I146" s="18">
        <v>400</v>
      </c>
      <c r="J146" s="8">
        <f t="shared" si="5"/>
        <v>6400</v>
      </c>
      <c r="K146" s="27">
        <f t="shared" si="4"/>
        <v>1.7467248908296944E-3</v>
      </c>
      <c r="L146" s="18">
        <v>0.2</v>
      </c>
      <c r="M146" s="18"/>
      <c r="N146" s="18"/>
      <c r="O146" s="18"/>
      <c r="P146" s="18"/>
    </row>
    <row r="147" spans="1:16" x14ac:dyDescent="0.2">
      <c r="A147" s="4">
        <v>46064</v>
      </c>
      <c r="B147" s="1" t="s">
        <v>14</v>
      </c>
      <c r="C147" s="18" t="s">
        <v>20</v>
      </c>
      <c r="D147" s="18">
        <v>3639</v>
      </c>
      <c r="E147" s="18" t="s">
        <v>42</v>
      </c>
      <c r="F147" s="18">
        <v>140.5</v>
      </c>
      <c r="G147" s="18">
        <v>1000</v>
      </c>
      <c r="H147" s="18">
        <v>12</v>
      </c>
      <c r="I147" s="18">
        <v>500</v>
      </c>
      <c r="J147" s="8">
        <f t="shared" si="5"/>
        <v>12500</v>
      </c>
      <c r="K147" s="27">
        <f t="shared" si="4"/>
        <v>9.9644128113879002E-3</v>
      </c>
      <c r="L147" s="18">
        <v>1.4</v>
      </c>
      <c r="M147" s="18"/>
      <c r="N147" s="18"/>
      <c r="O147" s="18"/>
      <c r="P147" s="18"/>
    </row>
    <row r="148" spans="1:16" x14ac:dyDescent="0.2">
      <c r="A148" s="4">
        <v>46064</v>
      </c>
      <c r="B148" s="1" t="s">
        <v>14</v>
      </c>
      <c r="C148" s="18" t="s">
        <v>24</v>
      </c>
      <c r="D148" s="18">
        <v>3747</v>
      </c>
      <c r="E148" s="18" t="s">
        <v>621</v>
      </c>
      <c r="F148" s="18">
        <v>392.9</v>
      </c>
      <c r="G148" s="18">
        <v>800</v>
      </c>
      <c r="H148" s="18">
        <v>27</v>
      </c>
      <c r="I148" s="18"/>
      <c r="J148" s="8">
        <f t="shared" si="5"/>
        <v>21600</v>
      </c>
      <c r="K148" s="27">
        <f t="shared" si="4"/>
        <v>3.0542122677526089E-3</v>
      </c>
      <c r="L148" s="18">
        <v>1.2</v>
      </c>
      <c r="M148" s="18"/>
      <c r="N148" s="18"/>
      <c r="O148" s="18"/>
      <c r="P148" s="18"/>
    </row>
    <row r="149" spans="1:16" x14ac:dyDescent="0.2">
      <c r="A149" s="4">
        <v>46064</v>
      </c>
      <c r="B149" s="1" t="s">
        <v>14</v>
      </c>
      <c r="C149" s="18" t="s">
        <v>27</v>
      </c>
      <c r="D149" s="18">
        <v>3522</v>
      </c>
      <c r="E149" s="18" t="s">
        <v>629</v>
      </c>
      <c r="F149" s="18">
        <v>110.2</v>
      </c>
      <c r="G149" s="18">
        <v>2000</v>
      </c>
      <c r="H149" s="18">
        <v>33</v>
      </c>
      <c r="I149" s="18"/>
      <c r="J149" s="8">
        <f t="shared" si="5"/>
        <v>66000</v>
      </c>
      <c r="K149" s="27">
        <f t="shared" si="4"/>
        <v>9.0744101633393835E-3</v>
      </c>
      <c r="L149" s="18">
        <v>1</v>
      </c>
      <c r="M149" s="18"/>
      <c r="N149" s="18"/>
      <c r="O149" s="18"/>
      <c r="P149" s="18"/>
    </row>
    <row r="150" spans="1:16" x14ac:dyDescent="0.2">
      <c r="A150" s="4">
        <v>46064</v>
      </c>
      <c r="B150" s="1" t="s">
        <v>14</v>
      </c>
      <c r="C150" s="18" t="s">
        <v>27</v>
      </c>
      <c r="D150" s="18">
        <v>3325</v>
      </c>
      <c r="E150" s="18" t="s">
        <v>631</v>
      </c>
      <c r="F150" s="18">
        <v>30.2</v>
      </c>
      <c r="G150" s="18">
        <v>3000</v>
      </c>
      <c r="H150" s="18">
        <v>5</v>
      </c>
      <c r="I150" s="18"/>
      <c r="J150" s="8">
        <f t="shared" si="5"/>
        <v>15000</v>
      </c>
      <c r="K150" s="27">
        <f t="shared" si="4"/>
        <v>3.3112582781456956E-2</v>
      </c>
      <c r="L150" s="18">
        <v>1</v>
      </c>
      <c r="M150" s="18"/>
      <c r="N150" s="18"/>
      <c r="O150" s="18"/>
      <c r="P150" s="18"/>
    </row>
    <row r="151" spans="1:16" x14ac:dyDescent="0.2">
      <c r="A151" s="4">
        <v>46064</v>
      </c>
      <c r="B151" s="1" t="s">
        <v>14</v>
      </c>
      <c r="C151" s="18" t="s">
        <v>33</v>
      </c>
      <c r="D151" s="18">
        <v>3566</v>
      </c>
      <c r="E151" s="18" t="s">
        <v>632</v>
      </c>
      <c r="F151" s="18">
        <v>1665.6</v>
      </c>
      <c r="G151" s="18">
        <v>300</v>
      </c>
      <c r="H151" s="18">
        <v>122</v>
      </c>
      <c r="I151" s="18">
        <v>200</v>
      </c>
      <c r="J151" s="8">
        <f t="shared" si="5"/>
        <v>36800</v>
      </c>
      <c r="K151" s="27">
        <f t="shared" si="4"/>
        <v>1.3609506738365532E-2</v>
      </c>
      <c r="L151" s="18">
        <v>20.5</v>
      </c>
      <c r="M151" s="18">
        <v>51.2</v>
      </c>
      <c r="N151" s="18"/>
      <c r="O151" s="18">
        <v>159.30000000000001</v>
      </c>
      <c r="P151" s="18"/>
    </row>
    <row r="152" spans="1:16" x14ac:dyDescent="0.2">
      <c r="A152" s="4">
        <v>46064</v>
      </c>
      <c r="B152" s="1" t="s">
        <v>14</v>
      </c>
      <c r="C152" s="18" t="s">
        <v>37</v>
      </c>
      <c r="D152" s="18">
        <v>3547</v>
      </c>
      <c r="E152" s="18" t="s">
        <v>623</v>
      </c>
      <c r="F152" s="18"/>
      <c r="G152" s="18">
        <v>250</v>
      </c>
      <c r="H152" s="18">
        <v>7</v>
      </c>
      <c r="I152" s="18">
        <v>75</v>
      </c>
      <c r="J152" s="8">
        <f t="shared" si="5"/>
        <v>1825</v>
      </c>
      <c r="K152" s="27">
        <f t="shared" si="4"/>
        <v>0</v>
      </c>
      <c r="L152" s="18"/>
      <c r="M152" s="18"/>
      <c r="N152" s="18"/>
      <c r="O152" s="18"/>
      <c r="P152" s="18"/>
    </row>
    <row r="153" spans="1:16" x14ac:dyDescent="0.2">
      <c r="A153" s="4">
        <v>46064</v>
      </c>
      <c r="B153" s="1" t="s">
        <v>14</v>
      </c>
      <c r="C153" s="18" t="s">
        <v>37</v>
      </c>
      <c r="D153" s="18">
        <v>3448</v>
      </c>
      <c r="E153" s="18" t="s">
        <v>623</v>
      </c>
      <c r="F153" s="18"/>
      <c r="G153" s="18">
        <v>250</v>
      </c>
      <c r="H153" s="18">
        <v>6</v>
      </c>
      <c r="I153" s="18"/>
      <c r="J153" s="8">
        <f t="shared" si="5"/>
        <v>1500</v>
      </c>
      <c r="K153" s="27">
        <f t="shared" si="4"/>
        <v>0</v>
      </c>
      <c r="L153" s="18"/>
      <c r="M153" s="18"/>
      <c r="N153" s="18"/>
      <c r="O153" s="18"/>
      <c r="P153" s="18"/>
    </row>
    <row r="154" spans="1:16" x14ac:dyDescent="0.2">
      <c r="A154" s="4">
        <v>46065</v>
      </c>
      <c r="B154" s="1" t="s">
        <v>40</v>
      </c>
      <c r="C154" s="18" t="s">
        <v>15</v>
      </c>
      <c r="D154" s="18">
        <v>3552</v>
      </c>
      <c r="E154" s="18" t="s">
        <v>143</v>
      </c>
      <c r="F154" s="18">
        <v>156.6</v>
      </c>
      <c r="G154" s="18">
        <v>500</v>
      </c>
      <c r="H154" s="18">
        <v>9</v>
      </c>
      <c r="I154" s="18">
        <v>180</v>
      </c>
      <c r="J154" s="8">
        <f t="shared" si="5"/>
        <v>4680</v>
      </c>
      <c r="K154" s="27">
        <f t="shared" si="4"/>
        <v>9.578544061302683E-3</v>
      </c>
      <c r="L154" s="18">
        <v>1.5</v>
      </c>
      <c r="M154" s="18"/>
      <c r="N154" s="18"/>
      <c r="O154" s="18"/>
      <c r="P154" s="18"/>
    </row>
    <row r="155" spans="1:16" x14ac:dyDescent="0.2">
      <c r="A155" s="4">
        <v>46065</v>
      </c>
      <c r="B155" s="1" t="s">
        <v>40</v>
      </c>
      <c r="C155" s="18" t="s">
        <v>15</v>
      </c>
      <c r="D155" s="18">
        <v>3515</v>
      </c>
      <c r="E155" s="18" t="s">
        <v>373</v>
      </c>
      <c r="F155" s="18">
        <v>164.5</v>
      </c>
      <c r="G155" s="18">
        <v>500</v>
      </c>
      <c r="H155" s="18">
        <v>9</v>
      </c>
      <c r="I155" s="18"/>
      <c r="J155" s="8">
        <f t="shared" si="5"/>
        <v>4500</v>
      </c>
      <c r="K155" s="27">
        <f t="shared" si="4"/>
        <v>0</v>
      </c>
      <c r="L155" s="18"/>
      <c r="M155" s="18"/>
      <c r="N155" s="18"/>
      <c r="O155" s="18"/>
      <c r="P155" s="18"/>
    </row>
    <row r="156" spans="1:16" x14ac:dyDescent="0.2">
      <c r="A156" s="4">
        <v>46065</v>
      </c>
      <c r="B156" s="1" t="s">
        <v>40</v>
      </c>
      <c r="C156" s="18" t="s">
        <v>20</v>
      </c>
      <c r="D156" s="18">
        <v>3444</v>
      </c>
      <c r="E156" s="18" t="s">
        <v>633</v>
      </c>
      <c r="F156" s="18">
        <v>743.4</v>
      </c>
      <c r="G156" s="18">
        <v>300</v>
      </c>
      <c r="H156" s="18">
        <v>67</v>
      </c>
      <c r="I156" s="18">
        <v>90</v>
      </c>
      <c r="J156" s="8">
        <f t="shared" si="5"/>
        <v>20190</v>
      </c>
      <c r="K156" s="27">
        <f t="shared" si="4"/>
        <v>4.5735808447672855E-3</v>
      </c>
      <c r="L156" s="18">
        <v>3.4</v>
      </c>
      <c r="M156" s="18"/>
      <c r="N156" s="18"/>
      <c r="O156" s="18"/>
      <c r="P156" s="18"/>
    </row>
    <row r="157" spans="1:16" x14ac:dyDescent="0.2">
      <c r="A157" s="4">
        <v>46065</v>
      </c>
      <c r="B157" s="1" t="s">
        <v>40</v>
      </c>
      <c r="C157" s="18" t="s">
        <v>20</v>
      </c>
      <c r="D157" s="18">
        <v>3652</v>
      </c>
      <c r="E157" s="18" t="s">
        <v>582</v>
      </c>
      <c r="F157" s="18">
        <v>245.2</v>
      </c>
      <c r="G157" s="18">
        <v>1400</v>
      </c>
      <c r="H157" s="18">
        <v>19</v>
      </c>
      <c r="I157" s="18">
        <v>1170</v>
      </c>
      <c r="J157" s="8">
        <f t="shared" si="5"/>
        <v>27770</v>
      </c>
      <c r="K157" s="27">
        <f t="shared" si="4"/>
        <v>7.7487765089722677E-3</v>
      </c>
      <c r="L157" s="18">
        <v>1.9</v>
      </c>
      <c r="M157" s="18"/>
      <c r="N157" s="18"/>
      <c r="O157" s="18"/>
      <c r="P157" s="18"/>
    </row>
    <row r="158" spans="1:16" x14ac:dyDescent="0.2">
      <c r="A158" s="4">
        <v>46065</v>
      </c>
      <c r="B158" s="1" t="s">
        <v>40</v>
      </c>
      <c r="C158" s="18" t="s">
        <v>24</v>
      </c>
      <c r="D158" s="18">
        <v>3747</v>
      </c>
      <c r="E158" s="18" t="s">
        <v>621</v>
      </c>
      <c r="F158" s="18">
        <v>375.6</v>
      </c>
      <c r="G158" s="18">
        <v>800</v>
      </c>
      <c r="H158" s="18">
        <v>32</v>
      </c>
      <c r="I158" s="18"/>
      <c r="J158" s="8">
        <f t="shared" si="5"/>
        <v>25600</v>
      </c>
      <c r="K158" s="27">
        <f t="shared" si="4"/>
        <v>7.9872204472843447E-4</v>
      </c>
      <c r="L158" s="18">
        <v>0.3</v>
      </c>
      <c r="M158" s="18"/>
      <c r="N158" s="18"/>
      <c r="O158" s="18"/>
      <c r="P158" s="18"/>
    </row>
    <row r="159" spans="1:16" x14ac:dyDescent="0.2">
      <c r="A159" s="4">
        <v>46065</v>
      </c>
      <c r="B159" s="1" t="s">
        <v>40</v>
      </c>
      <c r="C159" s="18" t="s">
        <v>27</v>
      </c>
      <c r="D159" s="18">
        <v>3522</v>
      </c>
      <c r="E159" s="18" t="s">
        <v>629</v>
      </c>
      <c r="F159" s="18"/>
      <c r="G159" s="18">
        <v>2000</v>
      </c>
      <c r="H159" s="18">
        <v>4</v>
      </c>
      <c r="I159" s="18">
        <v>1400</v>
      </c>
      <c r="J159" s="8">
        <f t="shared" si="5"/>
        <v>9400</v>
      </c>
      <c r="K159" s="27">
        <f t="shared" si="4"/>
        <v>0</v>
      </c>
      <c r="L159" s="18"/>
      <c r="M159" s="18"/>
      <c r="N159" s="18"/>
      <c r="O159" s="18"/>
      <c r="P159" s="18"/>
    </row>
    <row r="160" spans="1:16" x14ac:dyDescent="0.2">
      <c r="A160" s="4">
        <v>46065</v>
      </c>
      <c r="B160" s="1" t="s">
        <v>40</v>
      </c>
      <c r="C160" s="18" t="s">
        <v>27</v>
      </c>
      <c r="D160" s="18">
        <v>3325</v>
      </c>
      <c r="E160" s="18" t="s">
        <v>631</v>
      </c>
      <c r="F160" s="18">
        <v>119.5</v>
      </c>
      <c r="G160" s="18">
        <v>3000</v>
      </c>
      <c r="H160" s="18">
        <v>16</v>
      </c>
      <c r="I160" s="18"/>
      <c r="J160" s="8">
        <f t="shared" si="5"/>
        <v>48000</v>
      </c>
      <c r="K160" s="27">
        <f t="shared" si="4"/>
        <v>1.00418410041841E-2</v>
      </c>
      <c r="L160" s="18">
        <v>1.2</v>
      </c>
      <c r="M160" s="18"/>
      <c r="N160" s="18"/>
      <c r="O160" s="18"/>
      <c r="P160" s="18"/>
    </row>
    <row r="161" spans="1:16" x14ac:dyDescent="0.2">
      <c r="A161" s="4">
        <v>46065</v>
      </c>
      <c r="B161" s="1" t="s">
        <v>40</v>
      </c>
      <c r="C161" s="18" t="s">
        <v>33</v>
      </c>
      <c r="D161" s="18">
        <v>3513</v>
      </c>
      <c r="E161" s="18" t="s">
        <v>634</v>
      </c>
      <c r="F161" s="18">
        <v>58</v>
      </c>
      <c r="G161" s="18">
        <v>1000</v>
      </c>
      <c r="H161" s="18">
        <v>9</v>
      </c>
      <c r="I161" s="18">
        <v>330</v>
      </c>
      <c r="J161" s="8">
        <f t="shared" si="5"/>
        <v>9330</v>
      </c>
      <c r="K161" s="27">
        <f t="shared" si="4"/>
        <v>1.5717092337917488E-2</v>
      </c>
      <c r="L161" s="18">
        <v>0.8</v>
      </c>
      <c r="M161" s="18"/>
      <c r="N161" s="18"/>
      <c r="O161" s="18">
        <v>7.1</v>
      </c>
      <c r="P161" s="18"/>
    </row>
    <row r="162" spans="1:16" x14ac:dyDescent="0.2">
      <c r="A162" s="4">
        <v>46065</v>
      </c>
      <c r="B162" s="1" t="s">
        <v>40</v>
      </c>
      <c r="C162" s="18" t="s">
        <v>33</v>
      </c>
      <c r="D162" s="18">
        <v>3557</v>
      </c>
      <c r="E162" s="18" t="s">
        <v>204</v>
      </c>
      <c r="F162" s="18">
        <v>422.8</v>
      </c>
      <c r="G162" s="18">
        <v>500</v>
      </c>
      <c r="H162" s="18">
        <v>36</v>
      </c>
      <c r="I162" s="18">
        <v>400</v>
      </c>
      <c r="J162" s="8">
        <f t="shared" si="5"/>
        <v>18400</v>
      </c>
      <c r="K162" s="27">
        <f t="shared" si="4"/>
        <v>1.4037985136251031E-2</v>
      </c>
      <c r="L162" s="18">
        <v>5.0999999999999996</v>
      </c>
      <c r="M162" s="18">
        <v>9.8000000000000007</v>
      </c>
      <c r="N162" s="18">
        <v>1.7</v>
      </c>
      <c r="O162" s="18">
        <v>59.5</v>
      </c>
      <c r="P162" s="18" t="s">
        <v>635</v>
      </c>
    </row>
    <row r="163" spans="1:16" x14ac:dyDescent="0.2">
      <c r="A163" s="4">
        <v>46065</v>
      </c>
      <c r="B163" s="1" t="s">
        <v>40</v>
      </c>
      <c r="C163" s="18" t="s">
        <v>33</v>
      </c>
      <c r="D163" s="18">
        <v>3526</v>
      </c>
      <c r="E163" s="18" t="s">
        <v>636</v>
      </c>
      <c r="F163" s="18">
        <v>339.9</v>
      </c>
      <c r="G163" s="18">
        <v>500</v>
      </c>
      <c r="H163" s="18">
        <v>20</v>
      </c>
      <c r="I163" s="18">
        <v>285</v>
      </c>
      <c r="J163" s="8">
        <f t="shared" si="5"/>
        <v>10285</v>
      </c>
      <c r="K163" s="27">
        <f t="shared" si="4"/>
        <v>1.8936877076411961E-2</v>
      </c>
      <c r="L163" s="18">
        <v>5.7</v>
      </c>
      <c r="M163" s="18">
        <v>4.5999999999999996</v>
      </c>
      <c r="N163" s="18"/>
      <c r="O163" s="18">
        <v>38.9</v>
      </c>
      <c r="P163" s="18"/>
    </row>
    <row r="164" spans="1:16" x14ac:dyDescent="0.2">
      <c r="A164" s="4">
        <v>46065</v>
      </c>
      <c r="B164" s="1" t="s">
        <v>40</v>
      </c>
      <c r="C164" s="18" t="s">
        <v>33</v>
      </c>
      <c r="D164" s="18">
        <v>3596</v>
      </c>
      <c r="E164" s="18" t="s">
        <v>525</v>
      </c>
      <c r="F164" s="18">
        <v>350</v>
      </c>
      <c r="G164" s="18">
        <v>500</v>
      </c>
      <c r="H164" s="18">
        <v>34</v>
      </c>
      <c r="I164" s="18"/>
      <c r="J164" s="8">
        <f t="shared" si="5"/>
        <v>17000</v>
      </c>
      <c r="K164" s="27">
        <f t="shared" ref="K164:K227" si="6">IFERROR(L164/(F164-O164)*100%,0)</f>
        <v>7.2154804854050519E-3</v>
      </c>
      <c r="L164" s="18">
        <v>2.2000000000000002</v>
      </c>
      <c r="M164" s="18">
        <v>2.2000000000000002</v>
      </c>
      <c r="N164" s="18"/>
      <c r="O164" s="18">
        <v>45.1</v>
      </c>
      <c r="P164" s="18"/>
    </row>
    <row r="165" spans="1:16" x14ac:dyDescent="0.2">
      <c r="A165" s="4">
        <v>46065</v>
      </c>
      <c r="B165" s="1" t="s">
        <v>40</v>
      </c>
      <c r="C165" s="18" t="s">
        <v>27</v>
      </c>
      <c r="D165" s="18">
        <v>3672</v>
      </c>
      <c r="E165" s="18" t="s">
        <v>637</v>
      </c>
      <c r="F165" s="18">
        <v>52</v>
      </c>
      <c r="G165" s="18">
        <v>6000</v>
      </c>
      <c r="H165" s="18">
        <v>5</v>
      </c>
      <c r="I165" s="18"/>
      <c r="J165" s="8">
        <f t="shared" si="5"/>
        <v>30000</v>
      </c>
      <c r="K165" s="27">
        <f t="shared" si="6"/>
        <v>3.8461538461538464E-3</v>
      </c>
      <c r="L165" s="18">
        <v>0.2</v>
      </c>
      <c r="M165" s="18"/>
      <c r="N165" s="18"/>
      <c r="O165" s="18"/>
      <c r="P165" s="18"/>
    </row>
    <row r="166" spans="1:16" x14ac:dyDescent="0.2">
      <c r="A166" s="4">
        <v>46065</v>
      </c>
      <c r="B166" s="1" t="s">
        <v>40</v>
      </c>
      <c r="C166" s="18" t="s">
        <v>37</v>
      </c>
      <c r="D166" s="18">
        <v>3448</v>
      </c>
      <c r="E166" s="18" t="s">
        <v>623</v>
      </c>
      <c r="F166" s="18"/>
      <c r="G166" s="18">
        <v>250</v>
      </c>
      <c r="H166" s="18">
        <v>3</v>
      </c>
      <c r="I166" s="18">
        <v>95</v>
      </c>
      <c r="J166" s="8">
        <f t="shared" si="5"/>
        <v>845</v>
      </c>
      <c r="K166" s="27">
        <f t="shared" si="6"/>
        <v>0</v>
      </c>
      <c r="L166" s="18"/>
      <c r="M166" s="18"/>
      <c r="N166" s="18"/>
      <c r="O166" s="18"/>
      <c r="P166" s="18"/>
    </row>
    <row r="167" spans="1:16" x14ac:dyDescent="0.2">
      <c r="A167" s="4">
        <v>46066</v>
      </c>
      <c r="B167" s="1" t="s">
        <v>54</v>
      </c>
      <c r="C167" s="18" t="s">
        <v>27</v>
      </c>
      <c r="D167" s="18">
        <v>3672</v>
      </c>
      <c r="E167" s="18" t="s">
        <v>637</v>
      </c>
      <c r="F167" s="18">
        <v>45</v>
      </c>
      <c r="G167" s="18">
        <v>6000</v>
      </c>
      <c r="H167" s="18">
        <v>25</v>
      </c>
      <c r="I167" s="18"/>
      <c r="J167" s="8">
        <f t="shared" si="5"/>
        <v>150000</v>
      </c>
      <c r="K167" s="27">
        <f t="shared" si="6"/>
        <v>4.4444444444444444E-3</v>
      </c>
      <c r="L167" s="18">
        <v>0.2</v>
      </c>
      <c r="M167" s="18"/>
      <c r="N167" s="18"/>
      <c r="O167" s="18"/>
      <c r="P167" s="18"/>
    </row>
    <row r="168" spans="1:16" x14ac:dyDescent="0.2">
      <c r="A168" s="4">
        <v>46066</v>
      </c>
      <c r="B168" s="1" t="s">
        <v>54</v>
      </c>
      <c r="C168" s="18" t="s">
        <v>33</v>
      </c>
      <c r="D168" s="18">
        <v>3596</v>
      </c>
      <c r="E168" s="18" t="s">
        <v>525</v>
      </c>
      <c r="F168" s="18">
        <v>281</v>
      </c>
      <c r="G168" s="18">
        <v>500</v>
      </c>
      <c r="H168" s="18">
        <v>28</v>
      </c>
      <c r="I168" s="18">
        <v>128</v>
      </c>
      <c r="J168" s="8">
        <f t="shared" si="5"/>
        <v>14128</v>
      </c>
      <c r="K168" s="27">
        <f t="shared" si="6"/>
        <v>3.1980319803198029E-2</v>
      </c>
      <c r="L168" s="18">
        <v>7.8</v>
      </c>
      <c r="M168" s="18">
        <v>1.3</v>
      </c>
      <c r="N168" s="18"/>
      <c r="O168" s="18">
        <v>37.1</v>
      </c>
      <c r="P168" s="18"/>
    </row>
    <row r="169" spans="1:16" x14ac:dyDescent="0.2">
      <c r="A169" s="4">
        <v>46066</v>
      </c>
      <c r="B169" s="1" t="s">
        <v>54</v>
      </c>
      <c r="C169" s="18" t="s">
        <v>15</v>
      </c>
      <c r="D169" s="18">
        <v>3515</v>
      </c>
      <c r="E169" s="18" t="s">
        <v>373</v>
      </c>
      <c r="F169" s="18">
        <v>151.9</v>
      </c>
      <c r="G169" s="18">
        <v>500</v>
      </c>
      <c r="H169" s="18">
        <v>6</v>
      </c>
      <c r="I169" s="18">
        <v>180</v>
      </c>
      <c r="J169" s="8">
        <f t="shared" si="5"/>
        <v>3180</v>
      </c>
      <c r="K169" s="27">
        <f t="shared" si="6"/>
        <v>2.3699802501645818E-2</v>
      </c>
      <c r="L169" s="18">
        <v>3.6</v>
      </c>
      <c r="M169" s="18"/>
      <c r="N169" s="18"/>
      <c r="O169" s="18"/>
      <c r="P169" s="18"/>
    </row>
    <row r="170" spans="1:16" x14ac:dyDescent="0.2">
      <c r="A170" s="4">
        <v>46066</v>
      </c>
      <c r="B170" s="1" t="s">
        <v>54</v>
      </c>
      <c r="C170" s="18" t="s">
        <v>24</v>
      </c>
      <c r="D170" s="18">
        <v>3747</v>
      </c>
      <c r="E170" s="18" t="s">
        <v>621</v>
      </c>
      <c r="F170" s="18">
        <v>227.1</v>
      </c>
      <c r="G170" s="18">
        <v>800</v>
      </c>
      <c r="H170" s="18">
        <v>18</v>
      </c>
      <c r="I170" s="18">
        <v>660</v>
      </c>
      <c r="J170" s="8">
        <f t="shared" si="5"/>
        <v>15060</v>
      </c>
      <c r="K170" s="27">
        <f t="shared" si="6"/>
        <v>0</v>
      </c>
      <c r="L170" s="18"/>
      <c r="M170" s="18"/>
      <c r="N170" s="18"/>
      <c r="O170" s="18"/>
      <c r="P170" s="18"/>
    </row>
    <row r="171" spans="1:16" x14ac:dyDescent="0.2">
      <c r="A171" s="4">
        <v>46066</v>
      </c>
      <c r="B171" s="1" t="s">
        <v>54</v>
      </c>
      <c r="C171" s="18" t="s">
        <v>20</v>
      </c>
      <c r="D171" s="18">
        <v>3828</v>
      </c>
      <c r="E171" s="18" t="s">
        <v>455</v>
      </c>
      <c r="F171" s="18">
        <v>275.60000000000002</v>
      </c>
      <c r="G171" s="18">
        <v>1500</v>
      </c>
      <c r="H171" s="18">
        <v>32</v>
      </c>
      <c r="I171" s="18">
        <v>450</v>
      </c>
      <c r="J171" s="8">
        <f t="shared" si="5"/>
        <v>48450</v>
      </c>
      <c r="K171" s="27">
        <f t="shared" si="6"/>
        <v>1.0885341074020319E-2</v>
      </c>
      <c r="L171" s="18">
        <v>3</v>
      </c>
      <c r="M171" s="18"/>
      <c r="N171" s="18"/>
      <c r="O171" s="18"/>
      <c r="P171" s="18"/>
    </row>
    <row r="172" spans="1:16" x14ac:dyDescent="0.2">
      <c r="A172" s="4">
        <v>46066</v>
      </c>
      <c r="B172" s="1" t="s">
        <v>54</v>
      </c>
      <c r="C172" s="18" t="s">
        <v>33</v>
      </c>
      <c r="D172" s="18">
        <v>3642</v>
      </c>
      <c r="E172" s="18" t="s">
        <v>638</v>
      </c>
      <c r="F172" s="18">
        <v>162.19999999999999</v>
      </c>
      <c r="G172" s="18">
        <v>500</v>
      </c>
      <c r="H172" s="18">
        <v>20</v>
      </c>
      <c r="I172" s="18">
        <v>200</v>
      </c>
      <c r="J172" s="8">
        <f t="shared" si="5"/>
        <v>10200</v>
      </c>
      <c r="K172" s="27">
        <f t="shared" si="6"/>
        <v>8.4685956245589278E-3</v>
      </c>
      <c r="L172" s="18">
        <v>1.2</v>
      </c>
      <c r="M172" s="18">
        <v>0.6</v>
      </c>
      <c r="N172" s="18"/>
      <c r="O172" s="18">
        <v>20.5</v>
      </c>
      <c r="P172" s="18"/>
    </row>
    <row r="173" spans="1:16" x14ac:dyDescent="0.2">
      <c r="A173" s="4">
        <v>46066</v>
      </c>
      <c r="B173" s="1" t="s">
        <v>54</v>
      </c>
      <c r="C173" s="18" t="s">
        <v>33</v>
      </c>
      <c r="D173" s="18">
        <v>3622</v>
      </c>
      <c r="E173" s="18" t="s">
        <v>639</v>
      </c>
      <c r="F173" s="18">
        <v>1032.5</v>
      </c>
      <c r="G173" s="18">
        <v>500</v>
      </c>
      <c r="H173" s="18">
        <v>115</v>
      </c>
      <c r="I173" s="18"/>
      <c r="J173" s="8">
        <f t="shared" si="5"/>
        <v>57500</v>
      </c>
      <c r="K173" s="27">
        <f t="shared" si="6"/>
        <v>1.1968945438861333E-2</v>
      </c>
      <c r="L173" s="18">
        <v>11.1</v>
      </c>
      <c r="M173" s="18">
        <v>13.1</v>
      </c>
      <c r="N173" s="18"/>
      <c r="O173" s="18">
        <v>105.1</v>
      </c>
      <c r="P173" s="18"/>
    </row>
    <row r="174" spans="1:16" x14ac:dyDescent="0.2">
      <c r="A174" s="4">
        <v>46066</v>
      </c>
      <c r="B174" s="1" t="s">
        <v>54</v>
      </c>
      <c r="C174" s="18" t="s">
        <v>20</v>
      </c>
      <c r="D174" s="18">
        <v>3701</v>
      </c>
      <c r="E174" s="18" t="s">
        <v>640</v>
      </c>
      <c r="F174" s="18">
        <v>123.5</v>
      </c>
      <c r="G174" s="18">
        <v>1000</v>
      </c>
      <c r="H174" s="18">
        <v>10</v>
      </c>
      <c r="I174" s="18">
        <v>550</v>
      </c>
      <c r="J174" s="8">
        <f t="shared" si="5"/>
        <v>10550</v>
      </c>
      <c r="K174" s="27">
        <f t="shared" si="6"/>
        <v>8.9068825910931185E-3</v>
      </c>
      <c r="L174" s="18">
        <v>1.1000000000000001</v>
      </c>
      <c r="M174" s="18"/>
      <c r="N174" s="18"/>
      <c r="O174" s="18"/>
      <c r="P174" s="18"/>
    </row>
    <row r="175" spans="1:16" x14ac:dyDescent="0.2">
      <c r="A175" s="4">
        <v>46066</v>
      </c>
      <c r="B175" s="1" t="s">
        <v>54</v>
      </c>
      <c r="C175" s="18" t="s">
        <v>20</v>
      </c>
      <c r="D175" s="18">
        <v>3702</v>
      </c>
      <c r="E175" s="18" t="s">
        <v>641</v>
      </c>
      <c r="F175" s="18">
        <v>37.200000000000003</v>
      </c>
      <c r="G175" s="18">
        <v>1000</v>
      </c>
      <c r="H175" s="18">
        <v>3</v>
      </c>
      <c r="I175" s="18"/>
      <c r="J175" s="8">
        <f t="shared" si="5"/>
        <v>3000</v>
      </c>
      <c r="K175" s="27">
        <f t="shared" si="6"/>
        <v>3.4946236559139782E-2</v>
      </c>
      <c r="L175" s="18">
        <v>1.3</v>
      </c>
      <c r="M175" s="18"/>
      <c r="N175" s="18"/>
      <c r="O175" s="18"/>
      <c r="P175" s="18"/>
    </row>
    <row r="176" spans="1:16" x14ac:dyDescent="0.2">
      <c r="A176" s="4">
        <v>46066</v>
      </c>
      <c r="B176" s="1" t="s">
        <v>54</v>
      </c>
      <c r="C176" s="18" t="s">
        <v>20</v>
      </c>
      <c r="D176" s="18">
        <v>3734</v>
      </c>
      <c r="E176" s="18" t="s">
        <v>642</v>
      </c>
      <c r="F176" s="18">
        <v>156.5</v>
      </c>
      <c r="G176" s="18">
        <v>700</v>
      </c>
      <c r="H176" s="18">
        <v>21</v>
      </c>
      <c r="I176" s="18"/>
      <c r="J176" s="8">
        <f t="shared" si="5"/>
        <v>14700</v>
      </c>
      <c r="K176" s="27">
        <f t="shared" si="6"/>
        <v>1.6894087069525665E-2</v>
      </c>
      <c r="L176" s="18">
        <v>2.6</v>
      </c>
      <c r="M176" s="18"/>
      <c r="N176" s="18"/>
      <c r="O176" s="18">
        <v>2.6</v>
      </c>
      <c r="P176" s="18"/>
    </row>
    <row r="177" spans="1:16" x14ac:dyDescent="0.2">
      <c r="A177" s="4">
        <v>46066</v>
      </c>
      <c r="B177" s="1" t="s">
        <v>54</v>
      </c>
      <c r="C177" s="18" t="s">
        <v>15</v>
      </c>
      <c r="D177" s="18">
        <v>3744</v>
      </c>
      <c r="E177" s="18" t="s">
        <v>393</v>
      </c>
      <c r="F177" s="18">
        <v>368</v>
      </c>
      <c r="G177" s="18">
        <v>1000</v>
      </c>
      <c r="H177" s="18">
        <v>27</v>
      </c>
      <c r="I177" s="18">
        <v>900</v>
      </c>
      <c r="J177" s="8">
        <f t="shared" si="5"/>
        <v>27900</v>
      </c>
      <c r="K177" s="27">
        <f t="shared" si="6"/>
        <v>8.152173913043478E-3</v>
      </c>
      <c r="L177" s="18">
        <v>3</v>
      </c>
      <c r="M177" s="18"/>
      <c r="N177" s="18">
        <v>1.3</v>
      </c>
      <c r="O177" s="18"/>
      <c r="P177" s="18"/>
    </row>
    <row r="178" spans="1:16" x14ac:dyDescent="0.2">
      <c r="A178" s="4">
        <v>46066</v>
      </c>
      <c r="B178" s="1" t="s">
        <v>54</v>
      </c>
      <c r="C178" s="18" t="s">
        <v>24</v>
      </c>
      <c r="D178" s="18">
        <v>3527</v>
      </c>
      <c r="E178" s="18" t="s">
        <v>643</v>
      </c>
      <c r="F178" s="18" t="s">
        <v>644</v>
      </c>
      <c r="G178" s="18">
        <v>1000</v>
      </c>
      <c r="H178" s="18">
        <v>16</v>
      </c>
      <c r="I178" s="18"/>
      <c r="J178" s="8">
        <f t="shared" si="5"/>
        <v>16000</v>
      </c>
      <c r="K178" s="27">
        <f t="shared" si="6"/>
        <v>0</v>
      </c>
      <c r="L178" s="18">
        <v>3.5</v>
      </c>
      <c r="M178" s="18">
        <v>1.1000000000000001</v>
      </c>
      <c r="N178" s="18"/>
      <c r="O178" s="18"/>
      <c r="P178" s="18"/>
    </row>
    <row r="179" spans="1:16" x14ac:dyDescent="0.2">
      <c r="A179" s="4">
        <v>46066</v>
      </c>
      <c r="B179" s="1" t="s">
        <v>54</v>
      </c>
      <c r="C179" s="18" t="s">
        <v>15</v>
      </c>
      <c r="D179" s="18">
        <v>3671</v>
      </c>
      <c r="E179" s="18" t="s">
        <v>453</v>
      </c>
      <c r="F179" s="18">
        <v>27.2</v>
      </c>
      <c r="G179" s="18">
        <v>1000</v>
      </c>
      <c r="H179" s="18">
        <v>3</v>
      </c>
      <c r="I179" s="18"/>
      <c r="J179" s="8">
        <f t="shared" si="5"/>
        <v>3000</v>
      </c>
      <c r="K179" s="27">
        <f t="shared" si="6"/>
        <v>0</v>
      </c>
      <c r="L179" s="18"/>
      <c r="M179" s="18"/>
      <c r="N179" s="18"/>
      <c r="O179" s="18"/>
      <c r="P179" s="18"/>
    </row>
    <row r="180" spans="1:16" x14ac:dyDescent="0.2">
      <c r="A180" s="4">
        <v>46066</v>
      </c>
      <c r="B180" s="1" t="s">
        <v>54</v>
      </c>
      <c r="C180" s="18" t="s">
        <v>37</v>
      </c>
      <c r="D180" s="18">
        <v>3448</v>
      </c>
      <c r="E180" s="18" t="s">
        <v>623</v>
      </c>
      <c r="F180" s="18"/>
      <c r="G180" s="18">
        <v>250</v>
      </c>
      <c r="H180" s="18">
        <v>3</v>
      </c>
      <c r="I180" s="18"/>
      <c r="J180" s="8">
        <f t="shared" si="5"/>
        <v>750</v>
      </c>
      <c r="K180" s="27">
        <f t="shared" si="6"/>
        <v>0</v>
      </c>
      <c r="L180" s="18"/>
      <c r="M180" s="18"/>
      <c r="N180" s="18"/>
      <c r="O180" s="18"/>
      <c r="P180" s="18"/>
    </row>
    <row r="181" spans="1:16" x14ac:dyDescent="0.2">
      <c r="A181" s="4">
        <v>46067</v>
      </c>
      <c r="B181" s="1" t="s">
        <v>14</v>
      </c>
      <c r="C181" s="18" t="s">
        <v>15</v>
      </c>
      <c r="D181" s="18">
        <v>3671</v>
      </c>
      <c r="E181" s="18" t="s">
        <v>453</v>
      </c>
      <c r="F181" s="18">
        <v>315.2</v>
      </c>
      <c r="G181" s="18">
        <v>1000</v>
      </c>
      <c r="H181" s="18">
        <v>49</v>
      </c>
      <c r="I181" s="18"/>
      <c r="J181" s="8">
        <f t="shared" si="5"/>
        <v>49000</v>
      </c>
      <c r="K181" s="27">
        <f t="shared" si="6"/>
        <v>4.1243654822335028E-3</v>
      </c>
      <c r="L181" s="18">
        <v>1.3</v>
      </c>
      <c r="M181" s="18">
        <v>4.8</v>
      </c>
      <c r="N181" s="18"/>
      <c r="O181" s="18"/>
      <c r="P181" s="18" t="s">
        <v>645</v>
      </c>
    </row>
    <row r="182" spans="1:16" x14ac:dyDescent="0.2">
      <c r="A182" s="4">
        <v>46067</v>
      </c>
      <c r="B182" s="1" t="s">
        <v>14</v>
      </c>
      <c r="C182" s="18" t="s">
        <v>20</v>
      </c>
      <c r="D182" s="18">
        <v>3734</v>
      </c>
      <c r="E182" s="18" t="s">
        <v>642</v>
      </c>
      <c r="F182" s="18">
        <v>237.7</v>
      </c>
      <c r="G182" s="18">
        <v>700</v>
      </c>
      <c r="H182" s="18">
        <v>19</v>
      </c>
      <c r="I182" s="18">
        <v>130</v>
      </c>
      <c r="J182" s="8">
        <f t="shared" si="5"/>
        <v>13430</v>
      </c>
      <c r="K182" s="27">
        <f t="shared" si="6"/>
        <v>1.2749681257968552E-3</v>
      </c>
      <c r="L182" s="18">
        <v>0.3</v>
      </c>
      <c r="M182" s="18"/>
      <c r="N182" s="18"/>
      <c r="O182" s="18">
        <v>2.4</v>
      </c>
      <c r="P182" s="18" t="s">
        <v>646</v>
      </c>
    </row>
    <row r="183" spans="1:16" x14ac:dyDescent="0.2">
      <c r="A183" s="4">
        <v>46067</v>
      </c>
      <c r="B183" s="1" t="s">
        <v>14</v>
      </c>
      <c r="C183" s="18" t="s">
        <v>20</v>
      </c>
      <c r="D183" s="18">
        <v>3591</v>
      </c>
      <c r="E183" s="18" t="s">
        <v>647</v>
      </c>
      <c r="F183" s="18">
        <v>212</v>
      </c>
      <c r="G183" s="18">
        <v>150</v>
      </c>
      <c r="H183" s="18">
        <v>17</v>
      </c>
      <c r="I183" s="18">
        <v>100</v>
      </c>
      <c r="J183" s="8">
        <f t="shared" si="5"/>
        <v>2650</v>
      </c>
      <c r="K183" s="27">
        <f t="shared" si="6"/>
        <v>4.3396226415094337E-2</v>
      </c>
      <c r="L183" s="18">
        <v>9.1999999999999993</v>
      </c>
      <c r="M183" s="18"/>
      <c r="N183" s="18"/>
      <c r="O183" s="18"/>
      <c r="P183" s="18"/>
    </row>
    <row r="184" spans="1:16" x14ac:dyDescent="0.2">
      <c r="A184" s="4">
        <v>46067</v>
      </c>
      <c r="B184" s="1" t="s">
        <v>14</v>
      </c>
      <c r="C184" s="18" t="s">
        <v>20</v>
      </c>
      <c r="D184" s="18">
        <v>3590</v>
      </c>
      <c r="E184" s="18" t="s">
        <v>648</v>
      </c>
      <c r="F184" s="18">
        <v>95.3</v>
      </c>
      <c r="G184" s="18">
        <v>250</v>
      </c>
      <c r="H184" s="18">
        <v>9</v>
      </c>
      <c r="I184" s="18"/>
      <c r="J184" s="8">
        <f t="shared" si="5"/>
        <v>2250</v>
      </c>
      <c r="K184" s="27">
        <f t="shared" si="6"/>
        <v>6.0860440713536204E-2</v>
      </c>
      <c r="L184" s="18">
        <v>5.8</v>
      </c>
      <c r="M184" s="18"/>
      <c r="N184" s="18"/>
      <c r="O184" s="18"/>
      <c r="P184" s="18"/>
    </row>
    <row r="185" spans="1:16" x14ac:dyDescent="0.2">
      <c r="A185" s="4">
        <v>46067</v>
      </c>
      <c r="B185" s="1" t="s">
        <v>14</v>
      </c>
      <c r="C185" s="18" t="s">
        <v>20</v>
      </c>
      <c r="D185" s="18">
        <v>3725</v>
      </c>
      <c r="E185" s="18" t="s">
        <v>649</v>
      </c>
      <c r="F185" s="18">
        <v>162.1</v>
      </c>
      <c r="G185" s="18">
        <v>500</v>
      </c>
      <c r="H185" s="18">
        <v>11</v>
      </c>
      <c r="I185" s="18">
        <v>270</v>
      </c>
      <c r="J185" s="8">
        <f t="shared" si="5"/>
        <v>5770</v>
      </c>
      <c r="K185" s="27">
        <f t="shared" si="6"/>
        <v>1.4805675508945095E-2</v>
      </c>
      <c r="L185" s="18">
        <v>2.4</v>
      </c>
      <c r="M185" s="18"/>
      <c r="N185" s="18"/>
      <c r="O185" s="18"/>
      <c r="P185" s="18"/>
    </row>
    <row r="186" spans="1:16" x14ac:dyDescent="0.2">
      <c r="A186" s="4">
        <v>46067</v>
      </c>
      <c r="B186" s="1" t="s">
        <v>14</v>
      </c>
      <c r="C186" s="18" t="s">
        <v>20</v>
      </c>
      <c r="D186" s="18">
        <v>3727</v>
      </c>
      <c r="E186" s="18" t="s">
        <v>93</v>
      </c>
      <c r="F186" s="18">
        <v>337.6</v>
      </c>
      <c r="G186" s="18">
        <v>500</v>
      </c>
      <c r="H186" s="18">
        <v>25</v>
      </c>
      <c r="I186" s="18">
        <v>400</v>
      </c>
      <c r="J186" s="8">
        <f t="shared" si="5"/>
        <v>12900</v>
      </c>
      <c r="K186" s="27">
        <f t="shared" si="6"/>
        <v>7.701421800947867E-3</v>
      </c>
      <c r="L186" s="18">
        <v>2.6</v>
      </c>
      <c r="M186" s="18"/>
      <c r="N186" s="18"/>
      <c r="O186" s="18"/>
      <c r="P186" s="18"/>
    </row>
    <row r="187" spans="1:16" x14ac:dyDescent="0.2">
      <c r="A187" s="4">
        <v>46067</v>
      </c>
      <c r="B187" s="1" t="s">
        <v>14</v>
      </c>
      <c r="C187" s="18" t="s">
        <v>20</v>
      </c>
      <c r="D187" s="18">
        <v>3706</v>
      </c>
      <c r="E187" s="18" t="s">
        <v>198</v>
      </c>
      <c r="F187" s="18">
        <v>110.8</v>
      </c>
      <c r="G187" s="18">
        <v>1500</v>
      </c>
      <c r="H187" s="18">
        <v>8</v>
      </c>
      <c r="I187" s="18"/>
      <c r="J187" s="8">
        <f t="shared" si="5"/>
        <v>12000</v>
      </c>
      <c r="K187" s="27">
        <f t="shared" si="6"/>
        <v>1.8953068592057764E-2</v>
      </c>
      <c r="L187" s="18">
        <v>2.1</v>
      </c>
      <c r="M187" s="18"/>
      <c r="N187" s="18"/>
      <c r="O187" s="18"/>
      <c r="P187" s="18"/>
    </row>
    <row r="188" spans="1:16" x14ac:dyDescent="0.2">
      <c r="A188" s="4">
        <v>46067</v>
      </c>
      <c r="B188" s="1" t="s">
        <v>14</v>
      </c>
      <c r="C188" s="18" t="s">
        <v>24</v>
      </c>
      <c r="D188" s="18">
        <v>3527</v>
      </c>
      <c r="E188" s="18" t="s">
        <v>643</v>
      </c>
      <c r="F188" s="18">
        <v>115.4</v>
      </c>
      <c r="G188" s="18">
        <v>1000</v>
      </c>
      <c r="H188" s="18">
        <v>12</v>
      </c>
      <c r="I188" s="18">
        <v>500</v>
      </c>
      <c r="J188" s="8">
        <f t="shared" si="5"/>
        <v>12500</v>
      </c>
      <c r="K188" s="27">
        <f t="shared" si="6"/>
        <v>4.1594454072790291E-2</v>
      </c>
      <c r="L188" s="18">
        <v>4.8</v>
      </c>
      <c r="M188" s="18"/>
      <c r="N188" s="18"/>
      <c r="O188" s="18"/>
      <c r="P188" s="18"/>
    </row>
    <row r="189" spans="1:16" x14ac:dyDescent="0.2">
      <c r="A189" s="4">
        <v>46067</v>
      </c>
      <c r="B189" s="1" t="s">
        <v>14</v>
      </c>
      <c r="C189" s="18" t="s">
        <v>24</v>
      </c>
      <c r="D189" s="18">
        <v>3597</v>
      </c>
      <c r="E189" s="18" t="s">
        <v>650</v>
      </c>
      <c r="F189" s="18">
        <v>258.5</v>
      </c>
      <c r="G189" s="18">
        <v>2000</v>
      </c>
      <c r="H189" s="18">
        <v>17</v>
      </c>
      <c r="I189" s="18"/>
      <c r="J189" s="8">
        <f t="shared" si="5"/>
        <v>34000</v>
      </c>
      <c r="K189" s="27">
        <f t="shared" si="6"/>
        <v>3.5976789168278532E-2</v>
      </c>
      <c r="L189" s="18">
        <v>9.3000000000000007</v>
      </c>
      <c r="M189" s="18">
        <v>10.3</v>
      </c>
      <c r="N189" s="18"/>
      <c r="O189" s="18"/>
      <c r="P189" s="18"/>
    </row>
    <row r="190" spans="1:16" x14ac:dyDescent="0.2">
      <c r="A190" s="4">
        <v>46067</v>
      </c>
      <c r="B190" s="1" t="s">
        <v>14</v>
      </c>
      <c r="C190" s="18" t="s">
        <v>24</v>
      </c>
      <c r="D190" s="18">
        <v>3761</v>
      </c>
      <c r="E190" s="18" t="s">
        <v>651</v>
      </c>
      <c r="F190" s="18">
        <v>57.6</v>
      </c>
      <c r="G190" s="18">
        <v>500</v>
      </c>
      <c r="H190" s="18">
        <v>6</v>
      </c>
      <c r="I190" s="18">
        <v>170</v>
      </c>
      <c r="J190" s="8">
        <f t="shared" si="5"/>
        <v>3170</v>
      </c>
      <c r="K190" s="27">
        <f t="shared" si="6"/>
        <v>0</v>
      </c>
      <c r="L190" s="18"/>
      <c r="M190" s="18"/>
      <c r="N190" s="18"/>
      <c r="O190" s="18"/>
      <c r="P190" s="18"/>
    </row>
    <row r="191" spans="1:16" x14ac:dyDescent="0.2">
      <c r="A191" s="4">
        <v>46067</v>
      </c>
      <c r="B191" s="1" t="s">
        <v>14</v>
      </c>
      <c r="C191" s="18" t="s">
        <v>24</v>
      </c>
      <c r="D191" s="18">
        <v>3795</v>
      </c>
      <c r="E191" s="18" t="s">
        <v>426</v>
      </c>
      <c r="F191" s="18">
        <v>57</v>
      </c>
      <c r="G191" s="18">
        <v>500</v>
      </c>
      <c r="H191" s="18">
        <v>4</v>
      </c>
      <c r="I191" s="18"/>
      <c r="J191" s="8">
        <f t="shared" si="5"/>
        <v>2000</v>
      </c>
      <c r="K191" s="27">
        <f t="shared" si="6"/>
        <v>0</v>
      </c>
      <c r="L191" s="18"/>
      <c r="M191" s="18"/>
      <c r="N191" s="18"/>
      <c r="O191" s="18"/>
      <c r="P191" s="18"/>
    </row>
    <row r="192" spans="1:16" x14ac:dyDescent="0.2">
      <c r="A192" s="4">
        <v>46067</v>
      </c>
      <c r="B192" s="1" t="s">
        <v>14</v>
      </c>
      <c r="C192" s="18" t="s">
        <v>27</v>
      </c>
      <c r="D192" s="18">
        <v>3672</v>
      </c>
      <c r="E192" s="18" t="s">
        <v>637</v>
      </c>
      <c r="F192" s="18">
        <v>75.5</v>
      </c>
      <c r="G192" s="18">
        <v>6000</v>
      </c>
      <c r="H192" s="18">
        <v>22</v>
      </c>
      <c r="I192" s="18"/>
      <c r="J192" s="8">
        <f t="shared" si="5"/>
        <v>132000</v>
      </c>
      <c r="K192" s="27">
        <f t="shared" si="6"/>
        <v>1.1920529801324504E-2</v>
      </c>
      <c r="L192" s="18">
        <v>0.9</v>
      </c>
      <c r="M192" s="18"/>
      <c r="N192" s="18"/>
      <c r="O192" s="18"/>
      <c r="P192" s="18"/>
    </row>
    <row r="193" spans="1:16" x14ac:dyDescent="0.2">
      <c r="A193" s="4">
        <v>46067</v>
      </c>
      <c r="B193" s="1" t="s">
        <v>14</v>
      </c>
      <c r="C193" s="18" t="s">
        <v>33</v>
      </c>
      <c r="D193" s="18">
        <v>3622</v>
      </c>
      <c r="E193" s="18" t="s">
        <v>639</v>
      </c>
      <c r="F193" s="18">
        <v>414.2</v>
      </c>
      <c r="G193" s="18">
        <v>500</v>
      </c>
      <c r="H193" s="18">
        <v>32</v>
      </c>
      <c r="I193" s="18">
        <v>350</v>
      </c>
      <c r="J193" s="8">
        <f t="shared" si="5"/>
        <v>16350</v>
      </c>
      <c r="K193" s="27">
        <f t="shared" si="6"/>
        <v>1.0559662090813094E-2</v>
      </c>
      <c r="L193" s="18">
        <v>4</v>
      </c>
      <c r="M193" s="18">
        <v>4</v>
      </c>
      <c r="N193" s="18"/>
      <c r="O193" s="18">
        <v>35.4</v>
      </c>
      <c r="P193" s="18"/>
    </row>
    <row r="194" spans="1:16" x14ac:dyDescent="0.2">
      <c r="A194" s="4">
        <v>46067</v>
      </c>
      <c r="B194" s="1" t="s">
        <v>14</v>
      </c>
      <c r="C194" s="18" t="s">
        <v>33</v>
      </c>
      <c r="D194" s="18">
        <v>3474</v>
      </c>
      <c r="E194" s="18" t="s">
        <v>652</v>
      </c>
      <c r="F194" s="18">
        <v>1243.8</v>
      </c>
      <c r="G194" s="18">
        <v>500</v>
      </c>
      <c r="H194" s="18">
        <v>83</v>
      </c>
      <c r="I194" s="18"/>
      <c r="J194" s="8">
        <f t="shared" ref="J194:J257" si="7">G194*H194+I194</f>
        <v>41500</v>
      </c>
      <c r="K194" s="27">
        <f t="shared" si="6"/>
        <v>6.3268257411424446E-3</v>
      </c>
      <c r="L194" s="18">
        <v>7</v>
      </c>
      <c r="M194" s="18">
        <v>23.7</v>
      </c>
      <c r="N194" s="18">
        <v>13.3</v>
      </c>
      <c r="O194" s="18">
        <v>137.4</v>
      </c>
      <c r="P194" s="18"/>
    </row>
    <row r="195" spans="1:16" x14ac:dyDescent="0.2">
      <c r="A195" s="4">
        <v>46068</v>
      </c>
      <c r="B195" s="1" t="s">
        <v>40</v>
      </c>
      <c r="C195" s="18" t="s">
        <v>24</v>
      </c>
      <c r="D195" s="18">
        <v>3795</v>
      </c>
      <c r="E195" s="18" t="s">
        <v>426</v>
      </c>
      <c r="F195" s="18">
        <v>268.5</v>
      </c>
      <c r="G195" s="18">
        <v>500</v>
      </c>
      <c r="H195" s="18">
        <v>49</v>
      </c>
      <c r="I195" s="18"/>
      <c r="J195" s="8">
        <f t="shared" si="7"/>
        <v>24500</v>
      </c>
      <c r="K195" s="27">
        <f t="shared" si="6"/>
        <v>3.7243947858473002E-4</v>
      </c>
      <c r="L195" s="18">
        <v>0.1</v>
      </c>
      <c r="M195" s="18"/>
      <c r="N195" s="18"/>
      <c r="O195" s="18"/>
      <c r="P195" s="18"/>
    </row>
    <row r="196" spans="1:16" x14ac:dyDescent="0.2">
      <c r="A196" s="4">
        <v>46068</v>
      </c>
      <c r="B196" s="1" t="s">
        <v>40</v>
      </c>
      <c r="C196" s="18" t="s">
        <v>27</v>
      </c>
      <c r="D196" s="18">
        <v>3672</v>
      </c>
      <c r="E196" s="18" t="s">
        <v>637</v>
      </c>
      <c r="F196" s="18">
        <v>22.6</v>
      </c>
      <c r="G196" s="18">
        <v>6000</v>
      </c>
      <c r="H196" s="18">
        <v>5</v>
      </c>
      <c r="I196" s="18">
        <v>3000</v>
      </c>
      <c r="J196" s="8">
        <f t="shared" si="7"/>
        <v>33000</v>
      </c>
      <c r="K196" s="27">
        <f t="shared" si="6"/>
        <v>4.4247787610619468E-3</v>
      </c>
      <c r="L196" s="18">
        <v>0.1</v>
      </c>
      <c r="M196" s="18"/>
      <c r="N196" s="18"/>
      <c r="O196" s="18"/>
      <c r="P196" s="18"/>
    </row>
    <row r="197" spans="1:16" x14ac:dyDescent="0.2">
      <c r="A197" s="4">
        <v>46068</v>
      </c>
      <c r="B197" s="1" t="s">
        <v>40</v>
      </c>
      <c r="C197" s="18" t="s">
        <v>27</v>
      </c>
      <c r="D197" s="18">
        <v>3460</v>
      </c>
      <c r="E197" s="18" t="s">
        <v>653</v>
      </c>
      <c r="F197" s="18">
        <v>99</v>
      </c>
      <c r="G197" s="18">
        <v>2000</v>
      </c>
      <c r="H197" s="18">
        <v>20</v>
      </c>
      <c r="I197" s="18"/>
      <c r="J197" s="8">
        <f t="shared" si="7"/>
        <v>40000</v>
      </c>
      <c r="K197" s="27">
        <f t="shared" si="6"/>
        <v>1.0101010101010102E-2</v>
      </c>
      <c r="L197" s="18">
        <v>1</v>
      </c>
      <c r="M197" s="18">
        <v>2.2999999999999998</v>
      </c>
      <c r="N197" s="18"/>
      <c r="O197" s="18"/>
      <c r="P197" s="18"/>
    </row>
    <row r="198" spans="1:16" x14ac:dyDescent="0.2">
      <c r="A198" s="4">
        <v>46068</v>
      </c>
      <c r="B198" s="1" t="s">
        <v>40</v>
      </c>
      <c r="C198" s="18" t="s">
        <v>15</v>
      </c>
      <c r="D198" s="18">
        <v>3671</v>
      </c>
      <c r="E198" s="18" t="s">
        <v>453</v>
      </c>
      <c r="F198" s="18">
        <v>285</v>
      </c>
      <c r="G198" s="18">
        <v>1000</v>
      </c>
      <c r="H198" s="18">
        <v>45</v>
      </c>
      <c r="I198" s="18"/>
      <c r="J198" s="8">
        <f t="shared" si="7"/>
        <v>45000</v>
      </c>
      <c r="K198" s="27">
        <f t="shared" si="6"/>
        <v>2.4561403508771926E-3</v>
      </c>
      <c r="L198" s="18">
        <v>0.7</v>
      </c>
      <c r="M198" s="18">
        <v>2.7</v>
      </c>
      <c r="N198" s="18"/>
      <c r="O198" s="18"/>
      <c r="P198" s="18"/>
    </row>
    <row r="199" spans="1:16" x14ac:dyDescent="0.2">
      <c r="A199" s="4">
        <v>46068</v>
      </c>
      <c r="B199" s="1" t="s">
        <v>40</v>
      </c>
      <c r="C199" s="18" t="s">
        <v>20</v>
      </c>
      <c r="D199" s="18">
        <v>3706</v>
      </c>
      <c r="E199" s="18" t="s">
        <v>198</v>
      </c>
      <c r="F199" s="18">
        <v>721.9</v>
      </c>
      <c r="G199" s="18">
        <v>1500</v>
      </c>
      <c r="H199" s="18">
        <v>58</v>
      </c>
      <c r="I199" s="18">
        <v>400</v>
      </c>
      <c r="J199" s="8">
        <f t="shared" si="7"/>
        <v>87400</v>
      </c>
      <c r="K199" s="27">
        <f t="shared" si="6"/>
        <v>7.8958304474303926E-3</v>
      </c>
      <c r="L199" s="18">
        <v>5.7</v>
      </c>
      <c r="M199" s="18"/>
      <c r="N199" s="18"/>
      <c r="O199" s="18"/>
      <c r="P199" s="18"/>
    </row>
    <row r="200" spans="1:16" x14ac:dyDescent="0.2">
      <c r="A200" s="4">
        <v>46068</v>
      </c>
      <c r="B200" s="1" t="s">
        <v>40</v>
      </c>
      <c r="C200" s="18" t="s">
        <v>33</v>
      </c>
      <c r="D200" s="18">
        <v>3474</v>
      </c>
      <c r="E200" s="18" t="s">
        <v>652</v>
      </c>
      <c r="F200" s="18">
        <v>1556.8</v>
      </c>
      <c r="G200" s="18">
        <v>500</v>
      </c>
      <c r="H200" s="18">
        <v>98</v>
      </c>
      <c r="I200" s="18"/>
      <c r="J200" s="8">
        <f t="shared" si="7"/>
        <v>49000</v>
      </c>
      <c r="K200" s="27">
        <f t="shared" si="6"/>
        <v>1.1325926994661664E-2</v>
      </c>
      <c r="L200" s="18">
        <v>15.7</v>
      </c>
      <c r="M200" s="18">
        <v>24.3</v>
      </c>
      <c r="N200" s="18">
        <v>32.9</v>
      </c>
      <c r="O200" s="18">
        <v>170.6</v>
      </c>
      <c r="P200" s="18"/>
    </row>
    <row r="201" spans="1:16" x14ac:dyDescent="0.2">
      <c r="A201" s="4">
        <v>46068</v>
      </c>
      <c r="B201" s="1" t="s">
        <v>40</v>
      </c>
      <c r="C201" s="18" t="s">
        <v>15</v>
      </c>
      <c r="D201" s="18">
        <v>3735</v>
      </c>
      <c r="E201" s="18" t="s">
        <v>654</v>
      </c>
      <c r="F201" s="18">
        <v>205</v>
      </c>
      <c r="G201" s="18">
        <v>300</v>
      </c>
      <c r="H201" s="18">
        <v>22</v>
      </c>
      <c r="I201" s="18"/>
      <c r="J201" s="8">
        <f t="shared" si="7"/>
        <v>6600</v>
      </c>
      <c r="K201" s="27">
        <f t="shared" si="6"/>
        <v>3.9024390243902443E-3</v>
      </c>
      <c r="L201" s="18">
        <v>0.8</v>
      </c>
      <c r="M201" s="18"/>
      <c r="N201" s="18"/>
      <c r="O201" s="18"/>
      <c r="P201" s="18"/>
    </row>
    <row r="202" spans="1:16" x14ac:dyDescent="0.2">
      <c r="A202" s="4">
        <v>46068</v>
      </c>
      <c r="B202" s="1" t="s">
        <v>40</v>
      </c>
      <c r="C202" s="18" t="s">
        <v>20</v>
      </c>
      <c r="D202" s="18">
        <v>3735</v>
      </c>
      <c r="E202" s="18" t="s">
        <v>654</v>
      </c>
      <c r="F202" s="18">
        <v>295.60000000000002</v>
      </c>
      <c r="G202" s="18">
        <v>300</v>
      </c>
      <c r="H202" s="18">
        <v>33</v>
      </c>
      <c r="I202" s="18">
        <v>120</v>
      </c>
      <c r="J202" s="8">
        <f t="shared" si="7"/>
        <v>10020</v>
      </c>
      <c r="K202" s="27">
        <f t="shared" si="6"/>
        <v>2.7063599458728009E-3</v>
      </c>
      <c r="L202" s="18">
        <v>0.8</v>
      </c>
      <c r="M202" s="18"/>
      <c r="N202" s="18"/>
      <c r="O202" s="18"/>
      <c r="P202" s="18"/>
    </row>
    <row r="203" spans="1:16" x14ac:dyDescent="0.2">
      <c r="A203" s="4">
        <v>46069</v>
      </c>
      <c r="B203" s="1" t="s">
        <v>54</v>
      </c>
      <c r="C203" s="18" t="s">
        <v>33</v>
      </c>
      <c r="D203" s="18">
        <v>3474</v>
      </c>
      <c r="E203" s="18" t="s">
        <v>652</v>
      </c>
      <c r="F203" s="18">
        <v>154</v>
      </c>
      <c r="G203" s="18">
        <v>500</v>
      </c>
      <c r="H203" s="18">
        <v>10</v>
      </c>
      <c r="I203" s="18">
        <v>235</v>
      </c>
      <c r="J203" s="8">
        <f t="shared" si="7"/>
        <v>5235</v>
      </c>
      <c r="K203" s="27">
        <f t="shared" si="6"/>
        <v>0</v>
      </c>
      <c r="L203" s="18"/>
      <c r="M203" s="18">
        <v>0.8</v>
      </c>
      <c r="N203" s="18"/>
      <c r="O203" s="18">
        <v>16.7</v>
      </c>
      <c r="P203" s="18"/>
    </row>
    <row r="204" spans="1:16" x14ac:dyDescent="0.2">
      <c r="A204" s="4">
        <v>46069</v>
      </c>
      <c r="B204" s="1" t="s">
        <v>54</v>
      </c>
      <c r="C204" s="18" t="s">
        <v>24</v>
      </c>
      <c r="D204" s="18">
        <v>3795</v>
      </c>
      <c r="E204" s="18" t="s">
        <v>426</v>
      </c>
      <c r="F204" s="18">
        <v>56</v>
      </c>
      <c r="G204" s="18">
        <v>500</v>
      </c>
      <c r="H204" s="18">
        <v>10</v>
      </c>
      <c r="I204" s="18">
        <v>300</v>
      </c>
      <c r="J204" s="8">
        <f t="shared" si="7"/>
        <v>5300</v>
      </c>
      <c r="K204" s="27">
        <f t="shared" si="6"/>
        <v>1.4285714285714287E-2</v>
      </c>
      <c r="L204" s="18">
        <v>0.8</v>
      </c>
      <c r="M204" s="18"/>
      <c r="N204" s="18"/>
      <c r="O204" s="18"/>
      <c r="P204" s="18"/>
    </row>
    <row r="205" spans="1:16" x14ac:dyDescent="0.2">
      <c r="A205" s="4">
        <v>46069</v>
      </c>
      <c r="B205" s="1" t="s">
        <v>54</v>
      </c>
      <c r="C205" s="18" t="s">
        <v>27</v>
      </c>
      <c r="D205" s="18">
        <v>3460</v>
      </c>
      <c r="E205" s="18" t="s">
        <v>653</v>
      </c>
      <c r="F205" s="18">
        <v>53.3</v>
      </c>
      <c r="G205" s="18">
        <v>2000</v>
      </c>
      <c r="H205" s="18">
        <v>2</v>
      </c>
      <c r="I205" s="18"/>
      <c r="J205" s="8">
        <f t="shared" si="7"/>
        <v>4000</v>
      </c>
      <c r="K205" s="27">
        <f t="shared" si="6"/>
        <v>0</v>
      </c>
      <c r="L205" s="18"/>
      <c r="M205" s="18"/>
      <c r="N205" s="18"/>
      <c r="O205" s="18"/>
      <c r="P205" s="18"/>
    </row>
    <row r="206" spans="1:16" x14ac:dyDescent="0.2">
      <c r="A206" s="4">
        <v>46069</v>
      </c>
      <c r="B206" s="1" t="s">
        <v>54</v>
      </c>
      <c r="C206" s="18" t="s">
        <v>20</v>
      </c>
      <c r="D206" s="18">
        <v>3746</v>
      </c>
      <c r="E206" s="18" t="s">
        <v>198</v>
      </c>
      <c r="F206" s="18">
        <v>400.1</v>
      </c>
      <c r="G206" s="18">
        <v>1500</v>
      </c>
      <c r="H206" s="18">
        <v>32</v>
      </c>
      <c r="I206" s="18">
        <v>800</v>
      </c>
      <c r="J206" s="8">
        <f t="shared" si="7"/>
        <v>48800</v>
      </c>
      <c r="K206" s="27">
        <f t="shared" si="6"/>
        <v>3.4991252186953258E-3</v>
      </c>
      <c r="L206" s="18">
        <v>1.4</v>
      </c>
      <c r="M206" s="18"/>
      <c r="N206" s="18"/>
      <c r="O206" s="18"/>
      <c r="P206" s="18"/>
    </row>
    <row r="207" spans="1:16" x14ac:dyDescent="0.2">
      <c r="A207" s="4">
        <v>46069</v>
      </c>
      <c r="B207" s="1" t="s">
        <v>54</v>
      </c>
      <c r="C207" s="18" t="s">
        <v>15</v>
      </c>
      <c r="D207" s="18">
        <v>3738</v>
      </c>
      <c r="E207" s="18" t="s">
        <v>491</v>
      </c>
      <c r="F207" s="18">
        <v>681.1</v>
      </c>
      <c r="G207" s="18">
        <v>400</v>
      </c>
      <c r="H207" s="18">
        <v>68</v>
      </c>
      <c r="I207" s="18">
        <v>300</v>
      </c>
      <c r="J207" s="8">
        <f t="shared" si="7"/>
        <v>27500</v>
      </c>
      <c r="K207" s="27">
        <f t="shared" si="6"/>
        <v>2.0554984583761562E-2</v>
      </c>
      <c r="L207" s="18">
        <v>14</v>
      </c>
      <c r="M207" s="18"/>
      <c r="N207" s="18"/>
      <c r="O207" s="18"/>
      <c r="P207" s="18"/>
    </row>
    <row r="208" spans="1:16" x14ac:dyDescent="0.2">
      <c r="A208" s="4">
        <v>46069</v>
      </c>
      <c r="B208" s="1" t="s">
        <v>54</v>
      </c>
      <c r="C208" s="18" t="s">
        <v>33</v>
      </c>
      <c r="D208" s="18">
        <v>3721</v>
      </c>
      <c r="E208" s="18" t="s">
        <v>655</v>
      </c>
      <c r="F208" s="18">
        <v>391.6</v>
      </c>
      <c r="G208" s="18">
        <v>500</v>
      </c>
      <c r="H208" s="18">
        <v>40</v>
      </c>
      <c r="I208" s="18"/>
      <c r="J208" s="8">
        <f t="shared" si="7"/>
        <v>20000</v>
      </c>
      <c r="K208" s="27">
        <f t="shared" si="6"/>
        <v>1.3726050900772089E-2</v>
      </c>
      <c r="L208" s="18">
        <v>4.8</v>
      </c>
      <c r="M208" s="18">
        <v>2.9</v>
      </c>
      <c r="N208" s="18"/>
      <c r="O208" s="18">
        <v>41.9</v>
      </c>
      <c r="P208" s="18"/>
    </row>
    <row r="209" spans="1:16" x14ac:dyDescent="0.2">
      <c r="A209" s="4">
        <v>46069</v>
      </c>
      <c r="B209" s="1" t="s">
        <v>54</v>
      </c>
      <c r="C209" s="18" t="s">
        <v>15</v>
      </c>
      <c r="D209" s="18">
        <v>3512</v>
      </c>
      <c r="E209" s="18" t="s">
        <v>656</v>
      </c>
      <c r="F209" s="18">
        <v>172.6</v>
      </c>
      <c r="G209" s="18">
        <v>500</v>
      </c>
      <c r="H209" s="18">
        <v>23</v>
      </c>
      <c r="I209" s="18"/>
      <c r="J209" s="8">
        <f t="shared" si="7"/>
        <v>11500</v>
      </c>
      <c r="K209" s="27">
        <f t="shared" si="6"/>
        <v>4.2080654587960259E-2</v>
      </c>
      <c r="L209" s="18">
        <v>7.2</v>
      </c>
      <c r="M209" s="18">
        <v>2.2999999999999998</v>
      </c>
      <c r="N209" s="18"/>
      <c r="O209" s="18">
        <v>1.5</v>
      </c>
      <c r="P209" s="18"/>
    </row>
    <row r="210" spans="1:16" x14ac:dyDescent="0.2">
      <c r="A210" s="4">
        <v>46069</v>
      </c>
      <c r="B210" s="1" t="s">
        <v>54</v>
      </c>
      <c r="C210" s="18" t="s">
        <v>33</v>
      </c>
      <c r="D210" s="18">
        <v>3636</v>
      </c>
      <c r="E210" s="18" t="s">
        <v>286</v>
      </c>
      <c r="F210" s="18">
        <v>198.3</v>
      </c>
      <c r="G210" s="18">
        <v>500</v>
      </c>
      <c r="H210" s="18">
        <v>15</v>
      </c>
      <c r="I210" s="18">
        <v>400</v>
      </c>
      <c r="J210" s="8">
        <f t="shared" si="7"/>
        <v>7900</v>
      </c>
      <c r="K210" s="27">
        <f t="shared" si="6"/>
        <v>3.1790295593976572E-2</v>
      </c>
      <c r="L210" s="18">
        <v>5.7</v>
      </c>
      <c r="M210" s="18">
        <v>3.8</v>
      </c>
      <c r="N210" s="18"/>
      <c r="O210" s="18">
        <v>19</v>
      </c>
      <c r="P210" s="18"/>
    </row>
    <row r="211" spans="1:16" x14ac:dyDescent="0.2">
      <c r="A211" s="4">
        <v>46069</v>
      </c>
      <c r="B211" s="1" t="s">
        <v>54</v>
      </c>
      <c r="C211" s="18" t="s">
        <v>33</v>
      </c>
      <c r="D211" s="18">
        <v>3600</v>
      </c>
      <c r="E211" s="18" t="s">
        <v>366</v>
      </c>
      <c r="F211" s="18">
        <v>849.7</v>
      </c>
      <c r="G211" s="18">
        <v>500</v>
      </c>
      <c r="H211" s="18">
        <v>66</v>
      </c>
      <c r="I211" s="18"/>
      <c r="J211" s="8">
        <f t="shared" si="7"/>
        <v>33000</v>
      </c>
      <c r="K211" s="27">
        <f t="shared" si="6"/>
        <v>1.0638297872340425E-2</v>
      </c>
      <c r="L211" s="18">
        <v>8</v>
      </c>
      <c r="M211" s="18">
        <v>4.8</v>
      </c>
      <c r="N211" s="18"/>
      <c r="O211" s="18">
        <v>97.7</v>
      </c>
      <c r="P211" s="18"/>
    </row>
    <row r="212" spans="1:16" x14ac:dyDescent="0.2">
      <c r="A212" s="4">
        <v>46069</v>
      </c>
      <c r="B212" s="1" t="s">
        <v>54</v>
      </c>
      <c r="C212" s="18" t="s">
        <v>24</v>
      </c>
      <c r="D212" s="18">
        <v>3539</v>
      </c>
      <c r="E212" s="18" t="s">
        <v>657</v>
      </c>
      <c r="F212" s="18">
        <v>122</v>
      </c>
      <c r="G212" s="18">
        <v>1000</v>
      </c>
      <c r="H212" s="18">
        <v>6</v>
      </c>
      <c r="I212" s="18"/>
      <c r="J212" s="8">
        <f t="shared" si="7"/>
        <v>6000</v>
      </c>
      <c r="K212" s="27">
        <f t="shared" si="6"/>
        <v>1.8379281537176276E-2</v>
      </c>
      <c r="L212" s="18">
        <v>2.2000000000000002</v>
      </c>
      <c r="M212" s="18">
        <v>4.3</v>
      </c>
      <c r="N212" s="18"/>
      <c r="O212" s="18">
        <v>2.2999999999999998</v>
      </c>
      <c r="P212" s="18"/>
    </row>
    <row r="213" spans="1:16" x14ac:dyDescent="0.2">
      <c r="A213" s="4">
        <v>46069</v>
      </c>
      <c r="B213" s="1" t="s">
        <v>54</v>
      </c>
      <c r="C213" s="18" t="s">
        <v>20</v>
      </c>
      <c r="D213" s="18">
        <v>3729</v>
      </c>
      <c r="E213" s="18" t="s">
        <v>455</v>
      </c>
      <c r="F213" s="18">
        <v>239.4</v>
      </c>
      <c r="G213" s="18">
        <v>1500</v>
      </c>
      <c r="H213" s="18">
        <v>28</v>
      </c>
      <c r="I213" s="18">
        <v>550</v>
      </c>
      <c r="J213" s="8">
        <f t="shared" si="7"/>
        <v>42550</v>
      </c>
      <c r="K213" s="27">
        <f t="shared" si="6"/>
        <v>9.60735171261487E-3</v>
      </c>
      <c r="L213" s="18">
        <v>2.2999999999999998</v>
      </c>
      <c r="M213" s="18"/>
      <c r="N213" s="18"/>
      <c r="O213" s="18"/>
      <c r="P213" s="18"/>
    </row>
    <row r="214" spans="1:16" x14ac:dyDescent="0.2">
      <c r="A214" s="4">
        <v>46069</v>
      </c>
      <c r="B214" s="1" t="s">
        <v>54</v>
      </c>
      <c r="C214" s="18" t="s">
        <v>20</v>
      </c>
      <c r="D214" s="18">
        <v>3739</v>
      </c>
      <c r="E214" s="18" t="s">
        <v>447</v>
      </c>
      <c r="F214" s="18">
        <v>224.3</v>
      </c>
      <c r="G214" s="18">
        <v>1500</v>
      </c>
      <c r="H214" s="18">
        <v>15</v>
      </c>
      <c r="I214" s="18">
        <v>1400</v>
      </c>
      <c r="J214" s="8">
        <f t="shared" si="7"/>
        <v>23900</v>
      </c>
      <c r="K214" s="27">
        <f t="shared" si="6"/>
        <v>0</v>
      </c>
      <c r="L214" s="18"/>
      <c r="M214" s="18"/>
      <c r="N214" s="18"/>
      <c r="O214" s="18"/>
      <c r="P214" s="18"/>
    </row>
    <row r="215" spans="1:16" x14ac:dyDescent="0.2">
      <c r="A215" s="4">
        <v>46069</v>
      </c>
      <c r="B215" s="1" t="s">
        <v>54</v>
      </c>
      <c r="C215" s="18" t="s">
        <v>27</v>
      </c>
      <c r="D215" s="18">
        <v>3460</v>
      </c>
      <c r="E215" s="18" t="s">
        <v>64</v>
      </c>
      <c r="F215" s="18">
        <v>256</v>
      </c>
      <c r="G215" s="18">
        <v>2000</v>
      </c>
      <c r="H215" s="18">
        <v>30</v>
      </c>
      <c r="I215" s="18"/>
      <c r="J215" s="8">
        <f t="shared" si="7"/>
        <v>60000</v>
      </c>
      <c r="K215" s="27">
        <f t="shared" si="6"/>
        <v>1.3671875E-2</v>
      </c>
      <c r="L215" s="18">
        <v>3.5</v>
      </c>
      <c r="M215" s="18"/>
      <c r="N215" s="18"/>
      <c r="O215" s="18"/>
      <c r="P215" s="18"/>
    </row>
    <row r="216" spans="1:16" x14ac:dyDescent="0.2">
      <c r="A216" s="4">
        <v>46069</v>
      </c>
      <c r="B216" s="1" t="s">
        <v>54</v>
      </c>
      <c r="C216" s="18" t="s">
        <v>24</v>
      </c>
      <c r="D216" s="18">
        <v>3546</v>
      </c>
      <c r="E216" s="18" t="s">
        <v>658</v>
      </c>
      <c r="F216" s="18">
        <v>124.1</v>
      </c>
      <c r="G216" s="18">
        <v>500</v>
      </c>
      <c r="H216" s="18">
        <v>10</v>
      </c>
      <c r="I216" s="18">
        <v>350</v>
      </c>
      <c r="J216" s="8">
        <f t="shared" si="7"/>
        <v>5350</v>
      </c>
      <c r="K216" s="27">
        <f t="shared" si="6"/>
        <v>8.8429752066115697E-2</v>
      </c>
      <c r="L216" s="18">
        <v>10.7</v>
      </c>
      <c r="M216" s="18">
        <v>5.5</v>
      </c>
      <c r="N216" s="18"/>
      <c r="O216" s="18">
        <v>3.1</v>
      </c>
      <c r="P216" s="18"/>
    </row>
    <row r="217" spans="1:16" x14ac:dyDescent="0.2">
      <c r="A217" s="4">
        <v>46069</v>
      </c>
      <c r="B217" s="1" t="s">
        <v>54</v>
      </c>
      <c r="C217" s="18" t="s">
        <v>24</v>
      </c>
      <c r="D217" s="18">
        <v>3577</v>
      </c>
      <c r="E217" s="18" t="s">
        <v>659</v>
      </c>
      <c r="F217" s="18">
        <v>104</v>
      </c>
      <c r="G217" s="18">
        <v>500</v>
      </c>
      <c r="H217" s="18">
        <v>8</v>
      </c>
      <c r="I217" s="18"/>
      <c r="J217" s="8">
        <f t="shared" si="7"/>
        <v>4000</v>
      </c>
      <c r="K217" s="27">
        <f t="shared" si="6"/>
        <v>2.420135527589545E-2</v>
      </c>
      <c r="L217" s="18">
        <v>2.5</v>
      </c>
      <c r="M217" s="18">
        <v>0.5</v>
      </c>
      <c r="N217" s="18"/>
      <c r="O217" s="18">
        <v>0.7</v>
      </c>
      <c r="P217" s="18"/>
    </row>
    <row r="218" spans="1:16" x14ac:dyDescent="0.2">
      <c r="A218" s="4">
        <v>46069</v>
      </c>
      <c r="B218" s="1" t="s">
        <v>54</v>
      </c>
      <c r="C218" s="18" t="s">
        <v>33</v>
      </c>
      <c r="D218" s="18">
        <v>3601</v>
      </c>
      <c r="E218" s="18" t="s">
        <v>365</v>
      </c>
      <c r="F218" s="18">
        <v>62</v>
      </c>
      <c r="G218" s="18">
        <v>500</v>
      </c>
      <c r="H218" s="18">
        <v>7</v>
      </c>
      <c r="I218" s="18"/>
      <c r="J218" s="8">
        <f t="shared" si="7"/>
        <v>3500</v>
      </c>
      <c r="K218" s="27">
        <f t="shared" si="6"/>
        <v>0</v>
      </c>
      <c r="L218" s="18"/>
      <c r="M218" s="18"/>
      <c r="N218" s="18"/>
      <c r="O218" s="18">
        <v>5.6</v>
      </c>
      <c r="P218" s="18"/>
    </row>
    <row r="219" spans="1:16" x14ac:dyDescent="0.2">
      <c r="A219" s="4">
        <v>46070</v>
      </c>
      <c r="B219" s="1" t="s">
        <v>14</v>
      </c>
      <c r="C219" s="18" t="s">
        <v>15</v>
      </c>
      <c r="D219" s="18">
        <v>3512</v>
      </c>
      <c r="E219" s="18" t="s">
        <v>656</v>
      </c>
      <c r="F219" s="18">
        <v>47.2</v>
      </c>
      <c r="G219" s="18">
        <v>500</v>
      </c>
      <c r="H219" s="18">
        <v>1</v>
      </c>
      <c r="I219" s="18">
        <v>240</v>
      </c>
      <c r="J219" s="8">
        <f t="shared" si="7"/>
        <v>740</v>
      </c>
      <c r="K219" s="27">
        <f t="shared" si="6"/>
        <v>8.4745762711864406E-3</v>
      </c>
      <c r="L219" s="18">
        <v>0.4</v>
      </c>
      <c r="M219" s="18"/>
      <c r="N219" s="18"/>
      <c r="O219" s="18"/>
      <c r="P219" s="18"/>
    </row>
    <row r="220" spans="1:16" x14ac:dyDescent="0.2">
      <c r="A220" s="4">
        <v>46070</v>
      </c>
      <c r="B220" s="1" t="s">
        <v>14</v>
      </c>
      <c r="C220" s="18" t="s">
        <v>15</v>
      </c>
      <c r="D220" s="18">
        <v>3610</v>
      </c>
      <c r="E220" s="18" t="s">
        <v>145</v>
      </c>
      <c r="F220" s="18">
        <v>246.5</v>
      </c>
      <c r="G220" s="18">
        <v>500</v>
      </c>
      <c r="H220" s="18">
        <v>23</v>
      </c>
      <c r="I220" s="18">
        <v>180</v>
      </c>
      <c r="J220" s="8">
        <f t="shared" si="7"/>
        <v>11680</v>
      </c>
      <c r="K220" s="27">
        <f t="shared" si="6"/>
        <v>8.9722675367047318E-3</v>
      </c>
      <c r="L220" s="18">
        <v>2.2000000000000002</v>
      </c>
      <c r="M220" s="18"/>
      <c r="N220" s="18"/>
      <c r="O220" s="18">
        <v>1.3</v>
      </c>
      <c r="P220" s="18"/>
    </row>
    <row r="221" spans="1:16" x14ac:dyDescent="0.2">
      <c r="A221" s="4">
        <v>46070</v>
      </c>
      <c r="B221" s="1" t="s">
        <v>14</v>
      </c>
      <c r="C221" s="18" t="s">
        <v>15</v>
      </c>
      <c r="D221" s="18">
        <v>3609</v>
      </c>
      <c r="E221" s="18" t="s">
        <v>135</v>
      </c>
      <c r="F221" s="18">
        <v>348.1</v>
      </c>
      <c r="G221" s="18">
        <v>500</v>
      </c>
      <c r="H221" s="18">
        <v>24</v>
      </c>
      <c r="I221" s="18">
        <v>450</v>
      </c>
      <c r="J221" s="8">
        <f t="shared" si="7"/>
        <v>12450</v>
      </c>
      <c r="K221" s="27">
        <f t="shared" si="6"/>
        <v>8.3645803288145363E-3</v>
      </c>
      <c r="L221" s="18">
        <v>2.9</v>
      </c>
      <c r="M221" s="18"/>
      <c r="N221" s="18"/>
      <c r="O221" s="18">
        <v>1.4</v>
      </c>
      <c r="P221" s="18"/>
    </row>
    <row r="222" spans="1:16" x14ac:dyDescent="0.2">
      <c r="A222" s="4">
        <v>46070</v>
      </c>
      <c r="B222" s="1" t="s">
        <v>14</v>
      </c>
      <c r="C222" s="18" t="s">
        <v>15</v>
      </c>
      <c r="D222" s="18">
        <v>3611</v>
      </c>
      <c r="E222" s="18" t="s">
        <v>134</v>
      </c>
      <c r="F222" s="18">
        <v>165</v>
      </c>
      <c r="G222" s="18">
        <v>300</v>
      </c>
      <c r="H222" s="18">
        <v>11</v>
      </c>
      <c r="I222" s="18">
        <v>180</v>
      </c>
      <c r="J222" s="8">
        <f t="shared" si="7"/>
        <v>3480</v>
      </c>
      <c r="K222" s="27">
        <f t="shared" si="6"/>
        <v>1.5805471124620062E-2</v>
      </c>
      <c r="L222" s="18">
        <v>2.6</v>
      </c>
      <c r="M222" s="18"/>
      <c r="N222" s="18">
        <v>7.4</v>
      </c>
      <c r="O222" s="18">
        <v>0.5</v>
      </c>
      <c r="P222" s="18"/>
    </row>
    <row r="223" spans="1:16" x14ac:dyDescent="0.2">
      <c r="A223" s="4">
        <v>46070</v>
      </c>
      <c r="B223" s="1" t="s">
        <v>14</v>
      </c>
      <c r="C223" s="18" t="s">
        <v>15</v>
      </c>
      <c r="D223" s="18">
        <v>3663</v>
      </c>
      <c r="E223" s="18" t="s">
        <v>660</v>
      </c>
      <c r="F223" s="18">
        <v>314.39999999999998</v>
      </c>
      <c r="G223" s="18">
        <v>300</v>
      </c>
      <c r="H223" s="18">
        <v>19</v>
      </c>
      <c r="I223" s="18"/>
      <c r="J223" s="8">
        <f t="shared" si="7"/>
        <v>5700</v>
      </c>
      <c r="K223" s="27">
        <f t="shared" si="6"/>
        <v>3.9122137404580155E-2</v>
      </c>
      <c r="L223" s="18">
        <v>12.3</v>
      </c>
      <c r="M223" s="18"/>
      <c r="N223" s="18"/>
      <c r="O223" s="18"/>
      <c r="P223" s="18"/>
    </row>
    <row r="224" spans="1:16" x14ac:dyDescent="0.2">
      <c r="A224" s="4">
        <v>46070</v>
      </c>
      <c r="B224" s="1" t="s">
        <v>14</v>
      </c>
      <c r="C224" s="18" t="s">
        <v>20</v>
      </c>
      <c r="D224" s="18">
        <v>3745</v>
      </c>
      <c r="E224" s="18" t="s">
        <v>246</v>
      </c>
      <c r="F224" s="18">
        <v>222.1</v>
      </c>
      <c r="G224" s="18">
        <v>1000</v>
      </c>
      <c r="H224" s="18">
        <v>22</v>
      </c>
      <c r="I224" s="18"/>
      <c r="J224" s="8">
        <f t="shared" si="7"/>
        <v>22000</v>
      </c>
      <c r="K224" s="27">
        <f t="shared" si="6"/>
        <v>8.5547050877982887E-3</v>
      </c>
      <c r="L224" s="18">
        <v>1.9</v>
      </c>
      <c r="M224" s="18"/>
      <c r="N224" s="18"/>
      <c r="O224" s="18"/>
      <c r="P224" s="18"/>
    </row>
    <row r="225" spans="1:16" x14ac:dyDescent="0.2">
      <c r="A225" s="4">
        <v>46070</v>
      </c>
      <c r="B225" s="1" t="s">
        <v>14</v>
      </c>
      <c r="C225" s="18" t="s">
        <v>20</v>
      </c>
      <c r="D225" s="18">
        <v>3572</v>
      </c>
      <c r="E225" s="18" t="s">
        <v>432</v>
      </c>
      <c r="F225" s="18">
        <v>452.6</v>
      </c>
      <c r="G225" s="18">
        <v>1000</v>
      </c>
      <c r="H225" s="18">
        <v>30</v>
      </c>
      <c r="I225" s="18"/>
      <c r="J225" s="8">
        <f t="shared" si="7"/>
        <v>30000</v>
      </c>
      <c r="K225" s="27">
        <f t="shared" si="6"/>
        <v>1.8338488731771983E-2</v>
      </c>
      <c r="L225" s="18">
        <v>8.3000000000000007</v>
      </c>
      <c r="M225" s="18"/>
      <c r="N225" s="18"/>
      <c r="O225" s="18"/>
      <c r="P225" s="18"/>
    </row>
    <row r="226" spans="1:16" x14ac:dyDescent="0.2">
      <c r="A226" s="4">
        <v>46070</v>
      </c>
      <c r="B226" s="1" t="s">
        <v>14</v>
      </c>
      <c r="C226" s="18" t="s">
        <v>24</v>
      </c>
      <c r="D226" s="18">
        <v>3577</v>
      </c>
      <c r="E226" s="18" t="s">
        <v>659</v>
      </c>
      <c r="F226" s="18">
        <v>47.7</v>
      </c>
      <c r="G226" s="18">
        <v>500</v>
      </c>
      <c r="H226" s="18">
        <v>6</v>
      </c>
      <c r="I226" s="18">
        <v>50</v>
      </c>
      <c r="J226" s="8">
        <f t="shared" si="7"/>
        <v>3050</v>
      </c>
      <c r="K226" s="27">
        <f t="shared" si="6"/>
        <v>0</v>
      </c>
      <c r="L226" s="18"/>
      <c r="M226" s="18">
        <v>3.4</v>
      </c>
      <c r="N226" s="18"/>
      <c r="O226" s="18">
        <v>0.9</v>
      </c>
      <c r="P226" s="18"/>
    </row>
    <row r="227" spans="1:16" x14ac:dyDescent="0.2">
      <c r="A227" s="4">
        <v>46070</v>
      </c>
      <c r="B227" s="1" t="s">
        <v>14</v>
      </c>
      <c r="C227" s="18" t="s">
        <v>24</v>
      </c>
      <c r="D227" s="18">
        <v>3878</v>
      </c>
      <c r="E227" s="18" t="s">
        <v>408</v>
      </c>
      <c r="F227" s="18">
        <v>308.89999999999998</v>
      </c>
      <c r="G227" s="18">
        <v>2000</v>
      </c>
      <c r="H227" s="18">
        <v>37</v>
      </c>
      <c r="I227" s="18"/>
      <c r="J227" s="8">
        <f t="shared" si="7"/>
        <v>74000</v>
      </c>
      <c r="K227" s="27">
        <f t="shared" si="6"/>
        <v>1.2949174490126255E-3</v>
      </c>
      <c r="L227" s="18">
        <v>0.4</v>
      </c>
      <c r="M227" s="18"/>
      <c r="N227" s="18"/>
      <c r="O227" s="18"/>
      <c r="P227" s="18"/>
    </row>
    <row r="228" spans="1:16" x14ac:dyDescent="0.2">
      <c r="A228" s="4">
        <v>46070</v>
      </c>
      <c r="B228" s="1" t="s">
        <v>14</v>
      </c>
      <c r="C228" s="18" t="s">
        <v>27</v>
      </c>
      <c r="D228" s="18">
        <v>3460</v>
      </c>
      <c r="E228" s="18" t="s">
        <v>653</v>
      </c>
      <c r="F228" s="18">
        <v>48</v>
      </c>
      <c r="G228" s="18">
        <v>2000</v>
      </c>
      <c r="H228" s="18">
        <v>9</v>
      </c>
      <c r="I228" s="18">
        <v>1100</v>
      </c>
      <c r="J228" s="8">
        <f t="shared" si="7"/>
        <v>19100</v>
      </c>
      <c r="K228" s="27">
        <f t="shared" ref="K228:K291" si="8">IFERROR(L228/(F228-O228)*100%,0)</f>
        <v>7.0833333333333331E-2</v>
      </c>
      <c r="L228" s="18">
        <v>3.4</v>
      </c>
      <c r="M228" s="18"/>
      <c r="N228" s="18"/>
      <c r="O228" s="18"/>
      <c r="P228" s="18"/>
    </row>
    <row r="229" spans="1:16" x14ac:dyDescent="0.2">
      <c r="A229" s="4">
        <v>46070</v>
      </c>
      <c r="B229" s="1" t="s">
        <v>14</v>
      </c>
      <c r="C229" s="18" t="s">
        <v>27</v>
      </c>
      <c r="D229" s="18">
        <v>3728</v>
      </c>
      <c r="E229" s="18" t="s">
        <v>661</v>
      </c>
      <c r="F229" s="18">
        <v>105</v>
      </c>
      <c r="G229" s="18">
        <v>1200</v>
      </c>
      <c r="H229" s="18">
        <v>39</v>
      </c>
      <c r="I229" s="18"/>
      <c r="J229" s="8">
        <f t="shared" si="7"/>
        <v>46800</v>
      </c>
      <c r="K229" s="27">
        <f t="shared" si="8"/>
        <v>0.02</v>
      </c>
      <c r="L229" s="18">
        <v>2.1</v>
      </c>
      <c r="M229" s="18"/>
      <c r="N229" s="18"/>
      <c r="O229" s="18"/>
      <c r="P229" s="18"/>
    </row>
    <row r="230" spans="1:16" x14ac:dyDescent="0.2">
      <c r="A230" s="4">
        <v>46070</v>
      </c>
      <c r="B230" s="1" t="s">
        <v>14</v>
      </c>
      <c r="C230" s="18" t="s">
        <v>33</v>
      </c>
      <c r="D230" s="18">
        <v>3601</v>
      </c>
      <c r="E230" s="18" t="s">
        <v>365</v>
      </c>
      <c r="F230" s="18">
        <v>343.2</v>
      </c>
      <c r="G230" s="18">
        <v>500</v>
      </c>
      <c r="H230" s="18">
        <v>39</v>
      </c>
      <c r="I230" s="18">
        <v>300</v>
      </c>
      <c r="J230" s="8">
        <f t="shared" si="7"/>
        <v>19800</v>
      </c>
      <c r="K230" s="27">
        <f t="shared" si="8"/>
        <v>1.3570274636510501E-2</v>
      </c>
      <c r="L230" s="18">
        <v>4.2</v>
      </c>
      <c r="M230" s="18">
        <v>3</v>
      </c>
      <c r="N230" s="18"/>
      <c r="O230" s="18">
        <v>33.700000000000003</v>
      </c>
      <c r="P230" s="18"/>
    </row>
    <row r="231" spans="1:16" x14ac:dyDescent="0.2">
      <c r="A231" s="4">
        <v>46070</v>
      </c>
      <c r="B231" s="1" t="s">
        <v>14</v>
      </c>
      <c r="C231" s="18" t="s">
        <v>33</v>
      </c>
      <c r="D231" s="18">
        <v>3625</v>
      </c>
      <c r="E231" s="18" t="s">
        <v>580</v>
      </c>
      <c r="F231" s="18">
        <v>448.6</v>
      </c>
      <c r="G231" s="18">
        <v>500</v>
      </c>
      <c r="H231" s="18">
        <v>50</v>
      </c>
      <c r="I231" s="18">
        <v>350</v>
      </c>
      <c r="J231" s="8">
        <f t="shared" si="7"/>
        <v>25350</v>
      </c>
      <c r="K231" s="27">
        <f t="shared" si="8"/>
        <v>1.2543903662819869E-2</v>
      </c>
      <c r="L231" s="18">
        <v>5</v>
      </c>
      <c r="M231" s="18">
        <v>5</v>
      </c>
      <c r="N231" s="18"/>
      <c r="O231" s="18">
        <v>50</v>
      </c>
      <c r="P231" s="18"/>
    </row>
    <row r="232" spans="1:16" x14ac:dyDescent="0.2">
      <c r="A232" s="4">
        <v>46070</v>
      </c>
      <c r="B232" s="1" t="s">
        <v>14</v>
      </c>
      <c r="C232" s="18" t="s">
        <v>33</v>
      </c>
      <c r="D232" s="18">
        <v>3675</v>
      </c>
      <c r="E232" s="18" t="s">
        <v>580</v>
      </c>
      <c r="F232" s="18">
        <v>199.2</v>
      </c>
      <c r="G232" s="18">
        <v>500</v>
      </c>
      <c r="H232" s="18">
        <v>24</v>
      </c>
      <c r="I232" s="18"/>
      <c r="J232" s="8">
        <f t="shared" si="7"/>
        <v>12000</v>
      </c>
      <c r="K232" s="27">
        <f t="shared" si="8"/>
        <v>1.1261261261261262E-2</v>
      </c>
      <c r="L232" s="18">
        <v>2</v>
      </c>
      <c r="M232" s="18">
        <v>1</v>
      </c>
      <c r="N232" s="18"/>
      <c r="O232" s="18">
        <v>21.6</v>
      </c>
      <c r="P232" s="18"/>
    </row>
    <row r="233" spans="1:16" x14ac:dyDescent="0.2">
      <c r="A233" s="23">
        <v>46071</v>
      </c>
      <c r="B233" s="1" t="s">
        <v>40</v>
      </c>
      <c r="C233" s="18" t="s">
        <v>24</v>
      </c>
      <c r="D233" s="18">
        <v>3878</v>
      </c>
      <c r="E233" s="18" t="s">
        <v>408</v>
      </c>
      <c r="F233" s="18">
        <v>320</v>
      </c>
      <c r="G233" s="18">
        <v>2000</v>
      </c>
      <c r="H233" s="18">
        <v>40</v>
      </c>
      <c r="I233" s="18"/>
      <c r="J233" s="8">
        <f t="shared" si="7"/>
        <v>80000</v>
      </c>
      <c r="K233" s="27">
        <f t="shared" si="8"/>
        <v>1.5625000000000001E-3</v>
      </c>
      <c r="L233" s="18">
        <v>0.5</v>
      </c>
      <c r="M233" s="18"/>
      <c r="N233" s="18">
        <v>2.4</v>
      </c>
      <c r="O233" s="18"/>
      <c r="P233" s="18"/>
    </row>
    <row r="234" spans="1:16" x14ac:dyDescent="0.2">
      <c r="A234" s="23">
        <v>46071</v>
      </c>
      <c r="B234" s="1" t="s">
        <v>40</v>
      </c>
      <c r="C234" s="18" t="s">
        <v>33</v>
      </c>
      <c r="D234" s="18">
        <v>3675</v>
      </c>
      <c r="E234" s="18" t="s">
        <v>295</v>
      </c>
      <c r="F234" s="18">
        <v>1216.0999999999999</v>
      </c>
      <c r="G234" s="18">
        <v>500</v>
      </c>
      <c r="H234" s="18">
        <v>154</v>
      </c>
      <c r="I234" s="18"/>
      <c r="J234" s="8">
        <f t="shared" si="7"/>
        <v>77000</v>
      </c>
      <c r="K234" s="27">
        <f t="shared" si="8"/>
        <v>3.787878787878788E-3</v>
      </c>
      <c r="L234" s="18">
        <v>4.0999999999999996</v>
      </c>
      <c r="M234" s="18">
        <v>11.5</v>
      </c>
      <c r="N234" s="18">
        <v>8.3000000000000007</v>
      </c>
      <c r="O234" s="18">
        <v>133.69999999999999</v>
      </c>
      <c r="P234" s="18"/>
    </row>
    <row r="235" spans="1:16" x14ac:dyDescent="0.2">
      <c r="A235" s="23">
        <v>46071</v>
      </c>
      <c r="B235" s="1" t="s">
        <v>40</v>
      </c>
      <c r="C235" s="18" t="s">
        <v>27</v>
      </c>
      <c r="D235" s="18">
        <v>3728</v>
      </c>
      <c r="E235" s="18" t="s">
        <v>661</v>
      </c>
      <c r="F235" s="18">
        <v>243.3</v>
      </c>
      <c r="G235" s="18">
        <v>1200</v>
      </c>
      <c r="H235" s="18">
        <v>78</v>
      </c>
      <c r="I235" s="18"/>
      <c r="J235" s="8">
        <f t="shared" si="7"/>
        <v>93600</v>
      </c>
      <c r="K235" s="27">
        <f t="shared" si="8"/>
        <v>2.8771064529387585E-3</v>
      </c>
      <c r="L235" s="18">
        <v>0.7</v>
      </c>
      <c r="M235" s="18"/>
      <c r="N235" s="18"/>
      <c r="O235" s="18"/>
      <c r="P235" s="18"/>
    </row>
    <row r="236" spans="1:16" x14ac:dyDescent="0.2">
      <c r="A236" s="23">
        <v>46071</v>
      </c>
      <c r="B236" s="1" t="s">
        <v>40</v>
      </c>
      <c r="C236" s="18" t="s">
        <v>15</v>
      </c>
      <c r="D236" s="18">
        <v>3663</v>
      </c>
      <c r="E236" s="18" t="s">
        <v>660</v>
      </c>
      <c r="F236" s="18">
        <v>59.3</v>
      </c>
      <c r="G236" s="18">
        <v>300</v>
      </c>
      <c r="H236" s="18">
        <v>4</v>
      </c>
      <c r="I236" s="18"/>
      <c r="J236" s="8">
        <f t="shared" si="7"/>
        <v>1200</v>
      </c>
      <c r="K236" s="27">
        <f t="shared" si="8"/>
        <v>3.3726812816188873E-3</v>
      </c>
      <c r="L236" s="18">
        <v>0.2</v>
      </c>
      <c r="M236" s="18"/>
      <c r="N236" s="18"/>
      <c r="O236" s="18"/>
      <c r="P236" s="18"/>
    </row>
    <row r="237" spans="1:16" x14ac:dyDescent="0.2">
      <c r="A237" s="23">
        <v>46071</v>
      </c>
      <c r="B237" s="1" t="s">
        <v>40</v>
      </c>
      <c r="C237" s="18" t="s">
        <v>20</v>
      </c>
      <c r="D237" s="18">
        <v>3572</v>
      </c>
      <c r="E237" s="18" t="s">
        <v>432</v>
      </c>
      <c r="F237" s="18">
        <v>50.4</v>
      </c>
      <c r="G237" s="18">
        <v>1000</v>
      </c>
      <c r="H237" s="18">
        <v>4</v>
      </c>
      <c r="I237" s="18">
        <v>90</v>
      </c>
      <c r="J237" s="8">
        <f t="shared" si="7"/>
        <v>4090</v>
      </c>
      <c r="K237" s="27">
        <f t="shared" si="8"/>
        <v>7.9365079365079378E-3</v>
      </c>
      <c r="L237" s="18">
        <v>0.4</v>
      </c>
      <c r="M237" s="18"/>
      <c r="N237" s="18"/>
      <c r="O237" s="18"/>
      <c r="P237" s="18"/>
    </row>
    <row r="238" spans="1:16" x14ac:dyDescent="0.2">
      <c r="A238" s="23">
        <v>46071</v>
      </c>
      <c r="B238" s="1" t="s">
        <v>40</v>
      </c>
      <c r="C238" s="18" t="s">
        <v>15</v>
      </c>
      <c r="D238" s="18">
        <v>3731</v>
      </c>
      <c r="E238" s="18" t="s">
        <v>211</v>
      </c>
      <c r="F238" s="18">
        <v>430.2</v>
      </c>
      <c r="G238" s="18">
        <v>300</v>
      </c>
      <c r="H238" s="18">
        <v>30</v>
      </c>
      <c r="I238" s="18">
        <v>175</v>
      </c>
      <c r="J238" s="8">
        <f t="shared" si="7"/>
        <v>9175</v>
      </c>
      <c r="K238" s="27">
        <f t="shared" si="8"/>
        <v>2.556950255695026E-3</v>
      </c>
      <c r="L238" s="18">
        <v>1.1000000000000001</v>
      </c>
      <c r="M238" s="18"/>
      <c r="N238" s="18">
        <v>12.5</v>
      </c>
      <c r="O238" s="18"/>
      <c r="P238" s="18"/>
    </row>
    <row r="239" spans="1:16" x14ac:dyDescent="0.2">
      <c r="A239" s="23">
        <v>46071</v>
      </c>
      <c r="B239" s="1" t="s">
        <v>40</v>
      </c>
      <c r="C239" s="18" t="s">
        <v>15</v>
      </c>
      <c r="D239" s="18">
        <v>3753</v>
      </c>
      <c r="E239" s="18" t="s">
        <v>232</v>
      </c>
      <c r="F239" s="18">
        <v>616</v>
      </c>
      <c r="G239" s="18">
        <v>1000</v>
      </c>
      <c r="H239" s="18">
        <v>35</v>
      </c>
      <c r="I239" s="18"/>
      <c r="J239" s="8">
        <f t="shared" si="7"/>
        <v>35000</v>
      </c>
      <c r="K239" s="27">
        <f t="shared" si="8"/>
        <v>4.3831168831168837E-3</v>
      </c>
      <c r="L239" s="18">
        <v>2.7</v>
      </c>
      <c r="M239" s="18"/>
      <c r="N239" s="18">
        <v>14</v>
      </c>
      <c r="O239" s="18"/>
      <c r="P239" s="18"/>
    </row>
    <row r="240" spans="1:16" x14ac:dyDescent="0.2">
      <c r="A240" s="23">
        <v>46071</v>
      </c>
      <c r="B240" s="1" t="s">
        <v>40</v>
      </c>
      <c r="C240" s="18" t="s">
        <v>20</v>
      </c>
      <c r="D240" s="18">
        <v>3293</v>
      </c>
      <c r="E240" s="18" t="s">
        <v>104</v>
      </c>
      <c r="F240" s="18">
        <v>43.1</v>
      </c>
      <c r="G240" s="18">
        <v>2000</v>
      </c>
      <c r="H240" s="18">
        <v>4</v>
      </c>
      <c r="I240" s="18"/>
      <c r="J240" s="8">
        <f t="shared" si="7"/>
        <v>8000</v>
      </c>
      <c r="K240" s="27">
        <f t="shared" si="8"/>
        <v>4.1763341067285381E-2</v>
      </c>
      <c r="L240" s="18">
        <v>1.8</v>
      </c>
      <c r="M240" s="18"/>
      <c r="N240" s="18"/>
      <c r="O240" s="18"/>
      <c r="P240" s="18"/>
    </row>
    <row r="241" spans="1:16" x14ac:dyDescent="0.2">
      <c r="A241" s="23">
        <v>46071</v>
      </c>
      <c r="B241" s="1" t="s">
        <v>40</v>
      </c>
      <c r="C241" s="18" t="s">
        <v>15</v>
      </c>
      <c r="D241" s="18">
        <v>3772</v>
      </c>
      <c r="E241" s="18" t="s">
        <v>662</v>
      </c>
      <c r="F241" s="18">
        <v>47.7</v>
      </c>
      <c r="G241" s="18">
        <v>500</v>
      </c>
      <c r="H241" s="18">
        <v>3</v>
      </c>
      <c r="I241" s="18"/>
      <c r="J241" s="8">
        <f t="shared" si="7"/>
        <v>1500</v>
      </c>
      <c r="K241" s="27">
        <f t="shared" si="8"/>
        <v>1.0482180293501047E-2</v>
      </c>
      <c r="L241" s="18">
        <v>0.5</v>
      </c>
      <c r="M241" s="18"/>
      <c r="N241" s="18"/>
      <c r="O241" s="18"/>
      <c r="P241" s="18"/>
    </row>
    <row r="242" spans="1:16" x14ac:dyDescent="0.2">
      <c r="A242" s="23">
        <v>46071</v>
      </c>
      <c r="B242" s="1" t="s">
        <v>40</v>
      </c>
      <c r="C242" s="18" t="s">
        <v>20</v>
      </c>
      <c r="D242" s="18">
        <v>3745</v>
      </c>
      <c r="E242" s="18" t="s">
        <v>246</v>
      </c>
      <c r="F242" s="18">
        <v>52.5</v>
      </c>
      <c r="G242" s="18">
        <v>1000</v>
      </c>
      <c r="H242" s="18">
        <v>2</v>
      </c>
      <c r="I242" s="18"/>
      <c r="J242" s="8">
        <f t="shared" si="7"/>
        <v>2000</v>
      </c>
      <c r="K242" s="27">
        <f t="shared" si="8"/>
        <v>6.4761904761904757E-2</v>
      </c>
      <c r="L242" s="18">
        <v>3.4</v>
      </c>
      <c r="M242" s="18"/>
      <c r="N242" s="18"/>
      <c r="O242" s="18"/>
      <c r="P242" s="18"/>
    </row>
    <row r="243" spans="1:16" x14ac:dyDescent="0.2">
      <c r="A243" s="23">
        <v>46072</v>
      </c>
      <c r="B243" s="1" t="s">
        <v>54</v>
      </c>
      <c r="C243" s="18" t="s">
        <v>15</v>
      </c>
      <c r="D243" s="18">
        <v>3772</v>
      </c>
      <c r="E243" s="18" t="s">
        <v>662</v>
      </c>
      <c r="F243" s="18">
        <v>369</v>
      </c>
      <c r="G243" s="18">
        <v>500</v>
      </c>
      <c r="H243" s="18">
        <v>26</v>
      </c>
      <c r="I243" s="18">
        <v>300</v>
      </c>
      <c r="J243" s="8">
        <f t="shared" si="7"/>
        <v>13300</v>
      </c>
      <c r="K243" s="27">
        <f t="shared" si="8"/>
        <v>3.7940379403794036E-2</v>
      </c>
      <c r="L243" s="18">
        <v>14</v>
      </c>
      <c r="M243" s="18"/>
      <c r="N243" s="18"/>
      <c r="O243" s="18"/>
      <c r="P243" s="18"/>
    </row>
    <row r="244" spans="1:16" x14ac:dyDescent="0.2">
      <c r="A244" s="23">
        <v>46072</v>
      </c>
      <c r="B244" s="1" t="s">
        <v>54</v>
      </c>
      <c r="C244" s="18" t="s">
        <v>20</v>
      </c>
      <c r="D244" s="18">
        <v>3293</v>
      </c>
      <c r="E244" s="18" t="s">
        <v>104</v>
      </c>
      <c r="F244" s="18">
        <v>122</v>
      </c>
      <c r="G244" s="18">
        <v>2000</v>
      </c>
      <c r="H244" s="18">
        <v>10</v>
      </c>
      <c r="I244" s="18">
        <v>2100</v>
      </c>
      <c r="J244" s="8">
        <f t="shared" si="7"/>
        <v>22100</v>
      </c>
      <c r="K244" s="27">
        <f t="shared" si="8"/>
        <v>2.2131147540983609E-2</v>
      </c>
      <c r="L244" s="18">
        <v>2.7</v>
      </c>
      <c r="M244" s="18">
        <v>0.5</v>
      </c>
      <c r="N244" s="18"/>
      <c r="O244" s="18"/>
      <c r="P244" s="18"/>
    </row>
    <row r="245" spans="1:16" x14ac:dyDescent="0.2">
      <c r="A245" s="23">
        <v>46072</v>
      </c>
      <c r="B245" s="1" t="s">
        <v>54</v>
      </c>
      <c r="C245" s="18" t="s">
        <v>24</v>
      </c>
      <c r="D245" s="18">
        <v>3878</v>
      </c>
      <c r="E245" s="18" t="s">
        <v>408</v>
      </c>
      <c r="F245" s="18">
        <v>138</v>
      </c>
      <c r="G245" s="18">
        <v>2000</v>
      </c>
      <c r="H245" s="18">
        <v>14</v>
      </c>
      <c r="I245" s="18"/>
      <c r="J245" s="8">
        <f t="shared" si="7"/>
        <v>28000</v>
      </c>
      <c r="K245" s="27">
        <f t="shared" si="8"/>
        <v>0</v>
      </c>
      <c r="L245" s="18"/>
      <c r="M245" s="18"/>
      <c r="N245" s="18"/>
      <c r="O245" s="18"/>
      <c r="P245" s="18"/>
    </row>
    <row r="246" spans="1:16" x14ac:dyDescent="0.2">
      <c r="A246" s="23">
        <v>46072</v>
      </c>
      <c r="B246" s="1" t="s">
        <v>54</v>
      </c>
      <c r="C246" s="18" t="s">
        <v>33</v>
      </c>
      <c r="D246" s="18">
        <v>3675</v>
      </c>
      <c r="E246" s="18" t="s">
        <v>295</v>
      </c>
      <c r="F246" s="18">
        <v>78.099999999999994</v>
      </c>
      <c r="G246" s="18">
        <v>500</v>
      </c>
      <c r="H246" s="18">
        <v>7</v>
      </c>
      <c r="I246" s="18">
        <v>315</v>
      </c>
      <c r="J246" s="8">
        <f t="shared" si="7"/>
        <v>3815</v>
      </c>
      <c r="K246" s="27">
        <f t="shared" si="8"/>
        <v>0</v>
      </c>
      <c r="L246" s="18"/>
      <c r="M246" s="18">
        <v>1.7</v>
      </c>
      <c r="N246" s="18"/>
      <c r="O246" s="18">
        <v>9.1</v>
      </c>
      <c r="P246" s="18"/>
    </row>
    <row r="247" spans="1:16" x14ac:dyDescent="0.2">
      <c r="A247" s="23">
        <v>46072</v>
      </c>
      <c r="B247" s="1" t="s">
        <v>54</v>
      </c>
      <c r="C247" s="18" t="s">
        <v>27</v>
      </c>
      <c r="D247" s="18">
        <v>3728</v>
      </c>
      <c r="E247" s="18" t="s">
        <v>661</v>
      </c>
      <c r="F247" s="18">
        <v>20.2</v>
      </c>
      <c r="G247" s="18">
        <v>1200</v>
      </c>
      <c r="H247" s="18">
        <v>9</v>
      </c>
      <c r="I247" s="18"/>
      <c r="J247" s="8">
        <f t="shared" si="7"/>
        <v>10800</v>
      </c>
      <c r="K247" s="27">
        <f t="shared" si="8"/>
        <v>0</v>
      </c>
      <c r="L247" s="18"/>
      <c r="M247" s="18"/>
      <c r="N247" s="18"/>
      <c r="O247" s="18"/>
      <c r="P247" s="18"/>
    </row>
    <row r="248" spans="1:16" x14ac:dyDescent="0.2">
      <c r="A248" s="23">
        <v>46072</v>
      </c>
      <c r="B248" s="1" t="s">
        <v>54</v>
      </c>
      <c r="C248" s="18" t="s">
        <v>27</v>
      </c>
      <c r="D248" s="18">
        <v>3535</v>
      </c>
      <c r="E248" s="18" t="s">
        <v>482</v>
      </c>
      <c r="F248" s="18">
        <v>216.6</v>
      </c>
      <c r="G248" s="18">
        <v>2000</v>
      </c>
      <c r="H248" s="18">
        <v>25</v>
      </c>
      <c r="I248" s="18"/>
      <c r="J248" s="8">
        <f t="shared" si="7"/>
        <v>50000</v>
      </c>
      <c r="K248" s="27">
        <f t="shared" si="8"/>
        <v>2.1237303785780239E-2</v>
      </c>
      <c r="L248" s="18">
        <v>4.5999999999999996</v>
      </c>
      <c r="M248" s="18"/>
      <c r="N248" s="18"/>
      <c r="O248" s="18"/>
      <c r="P248" s="18"/>
    </row>
    <row r="249" spans="1:16" x14ac:dyDescent="0.2">
      <c r="A249" s="23">
        <v>46072</v>
      </c>
      <c r="B249" s="1" t="s">
        <v>54</v>
      </c>
      <c r="C249" s="18" t="s">
        <v>24</v>
      </c>
      <c r="D249" s="18">
        <v>3728</v>
      </c>
      <c r="E249" s="18" t="s">
        <v>661</v>
      </c>
      <c r="F249" s="18">
        <v>203.7</v>
      </c>
      <c r="G249" s="18">
        <v>1200</v>
      </c>
      <c r="H249" s="18">
        <v>51</v>
      </c>
      <c r="I249" s="18">
        <v>500</v>
      </c>
      <c r="J249" s="8">
        <f t="shared" si="7"/>
        <v>61700</v>
      </c>
      <c r="K249" s="27">
        <f t="shared" si="8"/>
        <v>5.8910162002945507E-3</v>
      </c>
      <c r="L249" s="18">
        <v>1.2</v>
      </c>
      <c r="M249" s="18"/>
      <c r="N249" s="18">
        <v>2.5</v>
      </c>
      <c r="O249" s="18"/>
      <c r="P249" s="18"/>
    </row>
    <row r="250" spans="1:16" x14ac:dyDescent="0.2">
      <c r="A250" s="23">
        <v>46072</v>
      </c>
      <c r="B250" s="1" t="s">
        <v>54</v>
      </c>
      <c r="C250" s="18" t="s">
        <v>33</v>
      </c>
      <c r="D250" s="18">
        <v>3659</v>
      </c>
      <c r="E250" s="18" t="s">
        <v>456</v>
      </c>
      <c r="F250" s="18">
        <v>209</v>
      </c>
      <c r="G250" s="18">
        <v>1000</v>
      </c>
      <c r="H250" s="18">
        <v>27</v>
      </c>
      <c r="I250" s="18">
        <v>415</v>
      </c>
      <c r="J250" s="8">
        <f t="shared" si="7"/>
        <v>27415</v>
      </c>
      <c r="K250" s="27">
        <f t="shared" si="8"/>
        <v>0</v>
      </c>
      <c r="L250" s="18"/>
      <c r="M250" s="18">
        <v>4.5</v>
      </c>
      <c r="N250" s="18"/>
      <c r="O250" s="18">
        <v>26.6</v>
      </c>
      <c r="P250" s="18"/>
    </row>
    <row r="251" spans="1:16" x14ac:dyDescent="0.2">
      <c r="A251" s="23">
        <v>46072</v>
      </c>
      <c r="B251" s="1" t="s">
        <v>54</v>
      </c>
      <c r="C251" s="18" t="s">
        <v>15</v>
      </c>
      <c r="D251" s="18">
        <v>3759</v>
      </c>
      <c r="E251" s="18" t="s">
        <v>663</v>
      </c>
      <c r="F251" s="18">
        <v>179.5</v>
      </c>
      <c r="G251" s="18">
        <v>500</v>
      </c>
      <c r="H251" s="18">
        <v>9</v>
      </c>
      <c r="I251" s="18">
        <v>40</v>
      </c>
      <c r="J251" s="8">
        <f t="shared" si="7"/>
        <v>4540</v>
      </c>
      <c r="K251" s="27">
        <f t="shared" si="8"/>
        <v>2.5069637883008356E-2</v>
      </c>
      <c r="L251" s="18">
        <v>4.5</v>
      </c>
      <c r="M251" s="18"/>
      <c r="N251" s="18"/>
      <c r="O251" s="18"/>
      <c r="P251" s="18"/>
    </row>
    <row r="252" spans="1:16" x14ac:dyDescent="0.2">
      <c r="A252" s="23">
        <v>46072</v>
      </c>
      <c r="B252" s="1" t="s">
        <v>54</v>
      </c>
      <c r="C252" s="18" t="s">
        <v>15</v>
      </c>
      <c r="D252" s="18">
        <v>3809</v>
      </c>
      <c r="E252" s="18" t="s">
        <v>664</v>
      </c>
      <c r="F252" s="18">
        <v>169.5</v>
      </c>
      <c r="G252" s="18">
        <v>150</v>
      </c>
      <c r="H252" s="18">
        <v>12</v>
      </c>
      <c r="I252" s="18">
        <v>125</v>
      </c>
      <c r="J252" s="8">
        <f t="shared" si="7"/>
        <v>1925</v>
      </c>
      <c r="K252" s="27">
        <f t="shared" si="8"/>
        <v>2.0648967551622419E-2</v>
      </c>
      <c r="L252" s="18">
        <v>3.5</v>
      </c>
      <c r="M252" s="18"/>
      <c r="N252" s="18"/>
      <c r="O252" s="18"/>
      <c r="P252" s="18"/>
    </row>
    <row r="253" spans="1:16" x14ac:dyDescent="0.2">
      <c r="A253" s="23">
        <v>46072</v>
      </c>
      <c r="B253" s="1" t="s">
        <v>54</v>
      </c>
      <c r="C253" s="18" t="s">
        <v>33</v>
      </c>
      <c r="D253" s="18">
        <v>3657</v>
      </c>
      <c r="E253" s="18" t="s">
        <v>665</v>
      </c>
      <c r="F253" s="18">
        <v>392.2</v>
      </c>
      <c r="G253" s="18">
        <v>500</v>
      </c>
      <c r="H253" s="18">
        <v>51</v>
      </c>
      <c r="I253" s="18"/>
      <c r="J253" s="8">
        <f t="shared" si="7"/>
        <v>25500</v>
      </c>
      <c r="K253" s="27">
        <f t="shared" si="8"/>
        <v>5.2089831565814093E-2</v>
      </c>
      <c r="L253" s="18">
        <v>16.7</v>
      </c>
      <c r="M253" s="18"/>
      <c r="N253" s="18"/>
      <c r="O253" s="18">
        <v>71.599999999999994</v>
      </c>
      <c r="P253" s="18"/>
    </row>
    <row r="254" spans="1:16" x14ac:dyDescent="0.2">
      <c r="A254" s="23">
        <v>46072</v>
      </c>
      <c r="B254" s="1" t="s">
        <v>54</v>
      </c>
      <c r="C254" s="18" t="s">
        <v>15</v>
      </c>
      <c r="D254" s="18">
        <v>3808</v>
      </c>
      <c r="E254" s="18" t="s">
        <v>305</v>
      </c>
      <c r="F254" s="18">
        <v>215.6</v>
      </c>
      <c r="G254" s="18">
        <v>200</v>
      </c>
      <c r="H254" s="18">
        <v>14</v>
      </c>
      <c r="I254" s="18">
        <v>100</v>
      </c>
      <c r="J254" s="8">
        <f t="shared" si="7"/>
        <v>2900</v>
      </c>
      <c r="K254" s="27">
        <f t="shared" si="8"/>
        <v>1.5306122448979591E-2</v>
      </c>
      <c r="L254" s="18">
        <v>3.3</v>
      </c>
      <c r="M254" s="18"/>
      <c r="N254" s="18"/>
      <c r="O254" s="18"/>
      <c r="P254" s="18"/>
    </row>
    <row r="255" spans="1:16" x14ac:dyDescent="0.2">
      <c r="A255" s="23">
        <v>46072</v>
      </c>
      <c r="B255" s="1" t="s">
        <v>54</v>
      </c>
      <c r="C255" s="18" t="s">
        <v>15</v>
      </c>
      <c r="D255" s="18">
        <v>3737</v>
      </c>
      <c r="E255" s="18" t="s">
        <v>666</v>
      </c>
      <c r="F255" s="18">
        <v>453.5</v>
      </c>
      <c r="G255" s="18">
        <v>100</v>
      </c>
      <c r="H255" s="18">
        <v>24</v>
      </c>
      <c r="I255" s="18"/>
      <c r="J255" s="8">
        <f t="shared" si="7"/>
        <v>2400</v>
      </c>
      <c r="K255" s="27">
        <f t="shared" si="8"/>
        <v>3.3076074972436607E-2</v>
      </c>
      <c r="L255" s="18">
        <v>15</v>
      </c>
      <c r="M255" s="18"/>
      <c r="N255" s="18"/>
      <c r="O255" s="18"/>
      <c r="P255" s="18"/>
    </row>
    <row r="256" spans="1:16" x14ac:dyDescent="0.2">
      <c r="A256" s="23">
        <v>46072</v>
      </c>
      <c r="B256" s="1" t="s">
        <v>54</v>
      </c>
      <c r="C256" s="18" t="s">
        <v>33</v>
      </c>
      <c r="D256" s="18">
        <v>3655</v>
      </c>
      <c r="E256" s="18" t="s">
        <v>667</v>
      </c>
      <c r="F256" s="18">
        <v>250.9</v>
      </c>
      <c r="G256" s="18">
        <v>500</v>
      </c>
      <c r="H256" s="18">
        <v>27</v>
      </c>
      <c r="I256" s="18"/>
      <c r="J256" s="8">
        <f t="shared" si="7"/>
        <v>13500</v>
      </c>
      <c r="K256" s="27">
        <f t="shared" si="8"/>
        <v>6.9380203515263649E-3</v>
      </c>
      <c r="L256" s="18">
        <v>1.5</v>
      </c>
      <c r="M256" s="18"/>
      <c r="N256" s="18"/>
      <c r="O256" s="18">
        <v>34.700000000000003</v>
      </c>
      <c r="P256" s="18"/>
    </row>
    <row r="257" spans="1:16" x14ac:dyDescent="0.2">
      <c r="A257" s="23">
        <v>46072</v>
      </c>
      <c r="B257" s="1" t="s">
        <v>54</v>
      </c>
      <c r="C257" s="18" t="s">
        <v>15</v>
      </c>
      <c r="D257" s="18">
        <v>3709</v>
      </c>
      <c r="E257" s="18" t="s">
        <v>668</v>
      </c>
      <c r="F257" s="18">
        <v>85</v>
      </c>
      <c r="G257" s="18">
        <v>200</v>
      </c>
      <c r="H257" s="18">
        <v>7</v>
      </c>
      <c r="I257" s="18"/>
      <c r="J257" s="8">
        <f t="shared" si="7"/>
        <v>1400</v>
      </c>
      <c r="K257" s="27">
        <f t="shared" si="8"/>
        <v>1.8823529411764708E-2</v>
      </c>
      <c r="L257" s="18">
        <v>1.6</v>
      </c>
      <c r="M257" s="18"/>
      <c r="N257" s="18"/>
      <c r="O257" s="18"/>
      <c r="P257" s="18"/>
    </row>
    <row r="258" spans="1:16" x14ac:dyDescent="0.2">
      <c r="A258" s="23">
        <v>46072</v>
      </c>
      <c r="B258" s="1" t="s">
        <v>54</v>
      </c>
      <c r="C258" s="18" t="s">
        <v>20</v>
      </c>
      <c r="D258" s="18">
        <v>3673</v>
      </c>
      <c r="E258" s="18" t="s">
        <v>669</v>
      </c>
      <c r="F258" s="18">
        <v>51.5</v>
      </c>
      <c r="G258" s="18">
        <v>2</v>
      </c>
      <c r="H258" s="18">
        <v>1500</v>
      </c>
      <c r="I258" s="18"/>
      <c r="J258" s="8">
        <f t="shared" ref="J258:J321" si="9">G258*H258+I258</f>
        <v>3000</v>
      </c>
      <c r="K258" s="27">
        <f t="shared" si="8"/>
        <v>0.13592233009708737</v>
      </c>
      <c r="L258" s="18">
        <v>7</v>
      </c>
      <c r="M258" s="18"/>
      <c r="N258" s="18"/>
      <c r="O258" s="18"/>
      <c r="P258" s="18"/>
    </row>
    <row r="259" spans="1:16" x14ac:dyDescent="0.2">
      <c r="A259" s="23">
        <v>46073</v>
      </c>
      <c r="B259" s="1" t="s">
        <v>423</v>
      </c>
      <c r="C259" s="18" t="s">
        <v>15</v>
      </c>
      <c r="D259" s="18">
        <v>3709</v>
      </c>
      <c r="E259" s="18" t="s">
        <v>668</v>
      </c>
      <c r="F259" s="18">
        <v>264.10000000000002</v>
      </c>
      <c r="G259" s="18">
        <v>200</v>
      </c>
      <c r="H259" s="18">
        <v>18</v>
      </c>
      <c r="I259" s="18">
        <v>150</v>
      </c>
      <c r="J259" s="8">
        <f t="shared" si="9"/>
        <v>3750</v>
      </c>
      <c r="K259" s="27">
        <f t="shared" si="8"/>
        <v>4.3544112078758045E-2</v>
      </c>
      <c r="L259" s="18">
        <v>11.5</v>
      </c>
      <c r="M259" s="18"/>
      <c r="N259" s="18"/>
      <c r="O259" s="18"/>
      <c r="P259" s="18"/>
    </row>
    <row r="260" spans="1:16" x14ac:dyDescent="0.2">
      <c r="A260" s="23">
        <v>46073</v>
      </c>
      <c r="B260" s="1" t="s">
        <v>423</v>
      </c>
      <c r="C260" s="18" t="s">
        <v>15</v>
      </c>
      <c r="D260" s="18">
        <v>3798</v>
      </c>
      <c r="E260" s="18" t="s">
        <v>670</v>
      </c>
      <c r="F260" s="18">
        <v>116.1</v>
      </c>
      <c r="G260" s="18">
        <v>200</v>
      </c>
      <c r="H260" s="18">
        <v>9</v>
      </c>
      <c r="I260" s="18">
        <v>60</v>
      </c>
      <c r="J260" s="8">
        <f t="shared" si="9"/>
        <v>1860</v>
      </c>
      <c r="K260" s="27">
        <f t="shared" si="8"/>
        <v>6.3738156761412576E-2</v>
      </c>
      <c r="L260" s="18">
        <v>7.4</v>
      </c>
      <c r="M260" s="18"/>
      <c r="N260" s="18"/>
      <c r="O260" s="18"/>
      <c r="P260" s="18"/>
    </row>
    <row r="261" spans="1:16" x14ac:dyDescent="0.2">
      <c r="A261" s="23">
        <v>46073</v>
      </c>
      <c r="B261" s="1" t="s">
        <v>423</v>
      </c>
      <c r="C261" s="18" t="s">
        <v>15</v>
      </c>
      <c r="D261" s="18">
        <v>3824</v>
      </c>
      <c r="E261" s="18" t="s">
        <v>165</v>
      </c>
      <c r="F261" s="18">
        <v>782.1</v>
      </c>
      <c r="G261" s="18">
        <v>1000</v>
      </c>
      <c r="H261" s="18">
        <v>75</v>
      </c>
      <c r="I261" s="18">
        <v>950</v>
      </c>
      <c r="J261" s="8">
        <f t="shared" si="9"/>
        <v>75950</v>
      </c>
      <c r="K261" s="27">
        <f t="shared" si="8"/>
        <v>7.4159314665643771E-3</v>
      </c>
      <c r="L261" s="18">
        <v>5.8</v>
      </c>
      <c r="M261" s="18"/>
      <c r="N261" s="18"/>
      <c r="O261" s="18"/>
      <c r="P261" s="18"/>
    </row>
    <row r="262" spans="1:16" x14ac:dyDescent="0.2">
      <c r="A262" s="23">
        <v>46073</v>
      </c>
      <c r="B262" s="1" t="s">
        <v>423</v>
      </c>
      <c r="C262" s="18" t="s">
        <v>20</v>
      </c>
      <c r="D262" s="18">
        <v>3673</v>
      </c>
      <c r="E262" s="18" t="s">
        <v>669</v>
      </c>
      <c r="F262" s="18">
        <v>92.5</v>
      </c>
      <c r="G262" s="18">
        <v>1500</v>
      </c>
      <c r="H262" s="18">
        <v>9</v>
      </c>
      <c r="I262" s="18">
        <v>350</v>
      </c>
      <c r="J262" s="8">
        <f t="shared" si="9"/>
        <v>13850</v>
      </c>
      <c r="K262" s="27">
        <f t="shared" si="8"/>
        <v>1.1891891891891894E-2</v>
      </c>
      <c r="L262" s="18">
        <v>1.1000000000000001</v>
      </c>
      <c r="M262" s="18"/>
      <c r="N262" s="18"/>
      <c r="O262" s="18"/>
      <c r="P262" s="18"/>
    </row>
    <row r="263" spans="1:16" x14ac:dyDescent="0.2">
      <c r="A263" s="23">
        <v>46073</v>
      </c>
      <c r="B263" s="1" t="s">
        <v>423</v>
      </c>
      <c r="C263" s="18" t="s">
        <v>20</v>
      </c>
      <c r="D263" s="18">
        <v>3793</v>
      </c>
      <c r="E263" s="18" t="s">
        <v>176</v>
      </c>
      <c r="F263" s="18">
        <v>121.7</v>
      </c>
      <c r="G263" s="18">
        <v>1500</v>
      </c>
      <c r="H263" s="18">
        <v>14</v>
      </c>
      <c r="I263" s="18">
        <v>600</v>
      </c>
      <c r="J263" s="8">
        <f t="shared" si="9"/>
        <v>21600</v>
      </c>
      <c r="K263" s="27">
        <f t="shared" si="8"/>
        <v>6.5735414954806908E-3</v>
      </c>
      <c r="L263" s="18">
        <v>0.8</v>
      </c>
      <c r="M263" s="18"/>
      <c r="N263" s="18"/>
      <c r="O263" s="18"/>
      <c r="P263" s="18"/>
    </row>
    <row r="264" spans="1:16" x14ac:dyDescent="0.2">
      <c r="A264" s="23">
        <v>46073</v>
      </c>
      <c r="B264" s="1" t="s">
        <v>423</v>
      </c>
      <c r="C264" s="18" t="s">
        <v>20</v>
      </c>
      <c r="D264" s="18">
        <v>3762</v>
      </c>
      <c r="E264" s="18" t="s">
        <v>293</v>
      </c>
      <c r="F264" s="18">
        <v>281.39999999999998</v>
      </c>
      <c r="G264" s="18">
        <v>1000</v>
      </c>
      <c r="H264" s="18">
        <v>25</v>
      </c>
      <c r="I264" s="18">
        <v>150</v>
      </c>
      <c r="J264" s="8">
        <f t="shared" si="9"/>
        <v>25150</v>
      </c>
      <c r="K264" s="27">
        <f t="shared" si="8"/>
        <v>1.0305614783226724E-2</v>
      </c>
      <c r="L264" s="18">
        <v>2.9</v>
      </c>
      <c r="M264" s="18"/>
      <c r="N264" s="18"/>
      <c r="O264" s="18"/>
      <c r="P264" s="18"/>
    </row>
    <row r="265" spans="1:16" x14ac:dyDescent="0.2">
      <c r="A265" s="23">
        <v>46073</v>
      </c>
      <c r="B265" s="1" t="s">
        <v>423</v>
      </c>
      <c r="C265" s="18" t="s">
        <v>20</v>
      </c>
      <c r="D265" s="18">
        <v>3489</v>
      </c>
      <c r="E265" s="18" t="s">
        <v>671</v>
      </c>
      <c r="F265" s="18">
        <v>253.6</v>
      </c>
      <c r="G265" s="18">
        <v>600</v>
      </c>
      <c r="H265" s="18">
        <v>28</v>
      </c>
      <c r="I265" s="18">
        <v>200</v>
      </c>
      <c r="J265" s="8">
        <f t="shared" si="9"/>
        <v>17000</v>
      </c>
      <c r="K265" s="27">
        <f t="shared" si="8"/>
        <v>1.6561514195583597E-2</v>
      </c>
      <c r="L265" s="18">
        <v>4.2</v>
      </c>
      <c r="M265" s="18"/>
      <c r="N265" s="18"/>
      <c r="O265" s="18"/>
      <c r="P265" s="18"/>
    </row>
    <row r="266" spans="1:16" x14ac:dyDescent="0.2">
      <c r="A266" s="23">
        <v>46073</v>
      </c>
      <c r="B266" s="1" t="s">
        <v>423</v>
      </c>
      <c r="C266" s="18" t="s">
        <v>20</v>
      </c>
      <c r="D266" s="18">
        <v>3825</v>
      </c>
      <c r="E266" s="18" t="s">
        <v>672</v>
      </c>
      <c r="F266" s="18">
        <v>87.6</v>
      </c>
      <c r="G266" s="18">
        <v>2000</v>
      </c>
      <c r="H266" s="18">
        <v>8</v>
      </c>
      <c r="I266" s="18"/>
      <c r="J266" s="8">
        <f t="shared" si="9"/>
        <v>16000</v>
      </c>
      <c r="K266" s="27">
        <f t="shared" si="8"/>
        <v>5.7077625570776261E-3</v>
      </c>
      <c r="L266" s="18">
        <v>0.5</v>
      </c>
      <c r="M266" s="18"/>
      <c r="N266" s="18"/>
      <c r="O266" s="18"/>
      <c r="P266" s="18"/>
    </row>
    <row r="267" spans="1:16" x14ac:dyDescent="0.2">
      <c r="A267" s="23">
        <v>46073</v>
      </c>
      <c r="B267" s="1" t="s">
        <v>423</v>
      </c>
      <c r="C267" s="18" t="s">
        <v>24</v>
      </c>
      <c r="D267" s="18">
        <v>3878</v>
      </c>
      <c r="E267" s="18" t="s">
        <v>408</v>
      </c>
      <c r="F267" s="18">
        <v>285.7</v>
      </c>
      <c r="G267" s="18">
        <v>2000</v>
      </c>
      <c r="H267" s="18">
        <v>37</v>
      </c>
      <c r="I267" s="18"/>
      <c r="J267" s="8">
        <f t="shared" si="9"/>
        <v>74000</v>
      </c>
      <c r="K267" s="27">
        <f t="shared" si="8"/>
        <v>5.2502625131256569E-3</v>
      </c>
      <c r="L267" s="18">
        <v>1.5</v>
      </c>
      <c r="M267" s="18"/>
      <c r="N267" s="18"/>
      <c r="O267" s="18"/>
      <c r="P267" s="18"/>
    </row>
    <row r="268" spans="1:16" x14ac:dyDescent="0.2">
      <c r="A268" s="23">
        <v>46073</v>
      </c>
      <c r="B268" s="1" t="s">
        <v>423</v>
      </c>
      <c r="C268" s="18" t="s">
        <v>24</v>
      </c>
      <c r="D268" s="18">
        <v>3256</v>
      </c>
      <c r="E268" s="18" t="s">
        <v>673</v>
      </c>
      <c r="F268" s="18">
        <v>245.8</v>
      </c>
      <c r="G268" s="18">
        <v>300</v>
      </c>
      <c r="H268" s="18">
        <v>16</v>
      </c>
      <c r="I268" s="18">
        <v>245</v>
      </c>
      <c r="J268" s="8">
        <f t="shared" si="9"/>
        <v>5045</v>
      </c>
      <c r="K268" s="27">
        <f t="shared" si="8"/>
        <v>0</v>
      </c>
      <c r="L268" s="18"/>
      <c r="M268" s="18">
        <v>13.7</v>
      </c>
      <c r="N268" s="18">
        <v>1.1000000000000001</v>
      </c>
      <c r="O268" s="18"/>
      <c r="P268" s="18"/>
    </row>
    <row r="269" spans="1:16" x14ac:dyDescent="0.2">
      <c r="A269" s="23">
        <v>46073</v>
      </c>
      <c r="B269" s="1" t="s">
        <v>423</v>
      </c>
      <c r="C269" s="18" t="s">
        <v>27</v>
      </c>
      <c r="D269" s="18">
        <v>3535</v>
      </c>
      <c r="E269" s="18" t="s">
        <v>482</v>
      </c>
      <c r="F269" s="18">
        <v>144.19999999999999</v>
      </c>
      <c r="G269" s="18">
        <v>2000</v>
      </c>
      <c r="H269" s="18">
        <v>26</v>
      </c>
      <c r="I269" s="18"/>
      <c r="J269" s="8">
        <f t="shared" si="9"/>
        <v>52000</v>
      </c>
      <c r="K269" s="27">
        <f t="shared" si="8"/>
        <v>2.7045769764216368E-2</v>
      </c>
      <c r="L269" s="18">
        <v>3.9</v>
      </c>
      <c r="M269" s="18">
        <v>4</v>
      </c>
      <c r="N269" s="18"/>
      <c r="O269" s="18"/>
      <c r="P269" s="18"/>
    </row>
    <row r="270" spans="1:16" x14ac:dyDescent="0.2">
      <c r="A270" s="23">
        <v>46073</v>
      </c>
      <c r="B270" s="1" t="s">
        <v>423</v>
      </c>
      <c r="C270" s="18" t="s">
        <v>33</v>
      </c>
      <c r="D270" s="18">
        <v>3655</v>
      </c>
      <c r="E270" s="18" t="s">
        <v>667</v>
      </c>
      <c r="F270" s="18">
        <v>47.5</v>
      </c>
      <c r="G270" s="18">
        <v>500</v>
      </c>
      <c r="H270" s="18">
        <v>3</v>
      </c>
      <c r="I270" s="18">
        <v>150</v>
      </c>
      <c r="J270" s="8">
        <f t="shared" si="9"/>
        <v>1650</v>
      </c>
      <c r="K270" s="27">
        <f t="shared" si="8"/>
        <v>0</v>
      </c>
      <c r="L270" s="18"/>
      <c r="M270" s="18"/>
      <c r="N270" s="18">
        <v>4.0999999999999996</v>
      </c>
      <c r="O270" s="18"/>
      <c r="P270" s="18"/>
    </row>
    <row r="271" spans="1:16" x14ac:dyDescent="0.2">
      <c r="A271" s="23">
        <v>46073</v>
      </c>
      <c r="B271" s="1" t="s">
        <v>423</v>
      </c>
      <c r="C271" s="18" t="s">
        <v>33</v>
      </c>
      <c r="D271" s="18">
        <v>3693</v>
      </c>
      <c r="E271" s="18" t="s">
        <v>674</v>
      </c>
      <c r="F271" s="18">
        <v>456</v>
      </c>
      <c r="G271" s="18">
        <v>500</v>
      </c>
      <c r="H271" s="18">
        <v>39</v>
      </c>
      <c r="I271" s="18"/>
      <c r="J271" s="8">
        <f t="shared" si="9"/>
        <v>19500</v>
      </c>
      <c r="K271" s="27">
        <f t="shared" si="8"/>
        <v>1.0964912280701754E-2</v>
      </c>
      <c r="L271" s="18">
        <v>5</v>
      </c>
      <c r="M271" s="18">
        <v>5</v>
      </c>
      <c r="N271" s="18">
        <v>63</v>
      </c>
      <c r="O271" s="18"/>
      <c r="P271" s="18"/>
    </row>
    <row r="272" spans="1:16" x14ac:dyDescent="0.2">
      <c r="A272" s="23">
        <v>46073</v>
      </c>
      <c r="B272" s="1" t="s">
        <v>423</v>
      </c>
      <c r="C272" s="18" t="s">
        <v>33</v>
      </c>
      <c r="D272" s="18">
        <v>3807</v>
      </c>
      <c r="E272" s="18" t="s">
        <v>675</v>
      </c>
      <c r="F272" s="18">
        <v>214</v>
      </c>
      <c r="G272" s="18">
        <v>500</v>
      </c>
      <c r="H272" s="18">
        <v>28</v>
      </c>
      <c r="I272" s="18">
        <v>350</v>
      </c>
      <c r="J272" s="8">
        <f t="shared" si="9"/>
        <v>14350</v>
      </c>
      <c r="K272" s="27">
        <f t="shared" si="8"/>
        <v>9.3457943925233638E-3</v>
      </c>
      <c r="L272" s="18">
        <v>2</v>
      </c>
      <c r="M272" s="18">
        <v>2</v>
      </c>
      <c r="N272" s="18">
        <v>13.4</v>
      </c>
      <c r="O272" s="18"/>
      <c r="P272" s="18"/>
    </row>
    <row r="273" spans="1:16" x14ac:dyDescent="0.2">
      <c r="A273" s="23">
        <v>46073</v>
      </c>
      <c r="B273" s="1" t="s">
        <v>423</v>
      </c>
      <c r="C273" s="18" t="s">
        <v>33</v>
      </c>
      <c r="D273" s="18">
        <v>3703</v>
      </c>
      <c r="E273" s="18" t="s">
        <v>676</v>
      </c>
      <c r="F273" s="18">
        <v>510.3</v>
      </c>
      <c r="G273" s="18">
        <v>200</v>
      </c>
      <c r="H273" s="18">
        <v>52</v>
      </c>
      <c r="I273" s="18">
        <v>100</v>
      </c>
      <c r="J273" s="8">
        <f t="shared" si="9"/>
        <v>10500</v>
      </c>
      <c r="K273" s="27">
        <f t="shared" si="8"/>
        <v>9.7981579463060943E-3</v>
      </c>
      <c r="L273" s="18">
        <v>5</v>
      </c>
      <c r="M273" s="18">
        <v>7.3</v>
      </c>
      <c r="N273" s="18">
        <v>55</v>
      </c>
      <c r="O273" s="18"/>
      <c r="P273" s="18"/>
    </row>
    <row r="274" spans="1:16" x14ac:dyDescent="0.2">
      <c r="A274" s="23">
        <v>46073</v>
      </c>
      <c r="B274" s="1" t="s">
        <v>423</v>
      </c>
      <c r="C274" s="18" t="s">
        <v>33</v>
      </c>
      <c r="D274" s="18">
        <v>3697</v>
      </c>
      <c r="E274" s="18" t="s">
        <v>677</v>
      </c>
      <c r="F274" s="18">
        <v>51.3</v>
      </c>
      <c r="G274" s="18">
        <v>500</v>
      </c>
      <c r="H274" s="18">
        <v>3</v>
      </c>
      <c r="I274" s="18"/>
      <c r="J274" s="8">
        <f t="shared" si="9"/>
        <v>1500</v>
      </c>
      <c r="K274" s="27">
        <f t="shared" si="8"/>
        <v>1.5594541910331385E-2</v>
      </c>
      <c r="L274" s="18">
        <v>0.8</v>
      </c>
      <c r="M274" s="18"/>
      <c r="N274" s="18">
        <v>6</v>
      </c>
      <c r="O274" s="18"/>
      <c r="P274" s="18"/>
    </row>
    <row r="275" spans="1:16" x14ac:dyDescent="0.2">
      <c r="A275" s="23">
        <v>46074</v>
      </c>
      <c r="B275" s="18" t="s">
        <v>40</v>
      </c>
      <c r="C275" s="18" t="s">
        <v>24</v>
      </c>
      <c r="D275" s="18">
        <v>3878</v>
      </c>
      <c r="E275" s="18" t="s">
        <v>408</v>
      </c>
      <c r="F275" s="18">
        <v>310.8</v>
      </c>
      <c r="G275" s="18">
        <v>2000</v>
      </c>
      <c r="H275" s="18">
        <v>36</v>
      </c>
      <c r="I275" s="18"/>
      <c r="J275" s="8">
        <f t="shared" si="9"/>
        <v>72000</v>
      </c>
      <c r="K275" s="27">
        <f t="shared" si="8"/>
        <v>9.6525096525096517E-4</v>
      </c>
      <c r="L275" s="18">
        <v>0.3</v>
      </c>
      <c r="M275" s="18"/>
      <c r="N275" s="18"/>
      <c r="O275" s="18"/>
      <c r="P275" s="18"/>
    </row>
    <row r="276" spans="1:16" x14ac:dyDescent="0.2">
      <c r="A276" s="23">
        <v>46074</v>
      </c>
      <c r="B276" s="18" t="s">
        <v>40</v>
      </c>
      <c r="C276" s="18" t="s">
        <v>27</v>
      </c>
      <c r="D276" s="18">
        <v>3535</v>
      </c>
      <c r="E276" s="18" t="s">
        <v>482</v>
      </c>
      <c r="F276" s="18">
        <v>195.7</v>
      </c>
      <c r="G276" s="18">
        <v>2000</v>
      </c>
      <c r="H276" s="18">
        <v>24</v>
      </c>
      <c r="I276" s="18"/>
      <c r="J276" s="8">
        <f t="shared" si="9"/>
        <v>48000</v>
      </c>
      <c r="K276" s="27">
        <f t="shared" si="8"/>
        <v>5.6208482370975988E-3</v>
      </c>
      <c r="L276" s="18">
        <v>1.1000000000000001</v>
      </c>
      <c r="M276" s="18">
        <v>1.3</v>
      </c>
      <c r="N276" s="18"/>
      <c r="O276" s="18"/>
      <c r="P276" s="18"/>
    </row>
    <row r="277" spans="1:16" x14ac:dyDescent="0.2">
      <c r="A277" s="23">
        <v>46074</v>
      </c>
      <c r="B277" s="18" t="s">
        <v>40</v>
      </c>
      <c r="C277" s="18" t="s">
        <v>33</v>
      </c>
      <c r="D277" s="18">
        <v>3697</v>
      </c>
      <c r="E277" s="18" t="s">
        <v>677</v>
      </c>
      <c r="F277" s="18">
        <v>103.1</v>
      </c>
      <c r="G277" s="18">
        <v>500</v>
      </c>
      <c r="H277" s="18">
        <v>6</v>
      </c>
      <c r="I277" s="18">
        <v>450</v>
      </c>
      <c r="J277" s="8">
        <f t="shared" si="9"/>
        <v>3450</v>
      </c>
      <c r="K277" s="27">
        <f t="shared" si="8"/>
        <v>0</v>
      </c>
      <c r="L277" s="18"/>
      <c r="M277" s="18">
        <v>4.9000000000000004</v>
      </c>
      <c r="N277" s="18"/>
      <c r="O277" s="18">
        <v>12.6</v>
      </c>
      <c r="P277" s="18"/>
    </row>
    <row r="278" spans="1:16" x14ac:dyDescent="0.2">
      <c r="A278" s="23">
        <v>46074</v>
      </c>
      <c r="B278" s="18" t="s">
        <v>40</v>
      </c>
      <c r="C278" s="18" t="s">
        <v>33</v>
      </c>
      <c r="D278" s="18">
        <v>3696</v>
      </c>
      <c r="E278" s="18" t="s">
        <v>678</v>
      </c>
      <c r="F278" s="18">
        <v>204.8</v>
      </c>
      <c r="G278" s="18">
        <v>500</v>
      </c>
      <c r="H278" s="18">
        <v>20</v>
      </c>
      <c r="I278" s="18">
        <v>455</v>
      </c>
      <c r="J278" s="8">
        <f t="shared" si="9"/>
        <v>10455</v>
      </c>
      <c r="K278" s="27">
        <f t="shared" si="8"/>
        <v>3.8567493112947656E-3</v>
      </c>
      <c r="L278" s="18">
        <v>0.7</v>
      </c>
      <c r="M278" s="18">
        <v>2.4</v>
      </c>
      <c r="N278" s="18"/>
      <c r="O278" s="18">
        <v>23.3</v>
      </c>
      <c r="P278" s="18"/>
    </row>
    <row r="279" spans="1:16" x14ac:dyDescent="0.2">
      <c r="A279" s="23">
        <v>46074</v>
      </c>
      <c r="B279" s="18" t="s">
        <v>40</v>
      </c>
      <c r="C279" s="18" t="s">
        <v>33</v>
      </c>
      <c r="D279" s="18">
        <v>3743</v>
      </c>
      <c r="E279" s="18" t="s">
        <v>161</v>
      </c>
      <c r="F279" s="18">
        <v>1140.8</v>
      </c>
      <c r="G279" s="18">
        <v>500</v>
      </c>
      <c r="H279" s="18">
        <v>102</v>
      </c>
      <c r="I279" s="18"/>
      <c r="J279" s="8">
        <f t="shared" si="9"/>
        <v>51000</v>
      </c>
      <c r="K279" s="27">
        <f t="shared" si="8"/>
        <v>1.1689909762100083E-2</v>
      </c>
      <c r="L279" s="18">
        <v>11.4</v>
      </c>
      <c r="M279" s="18">
        <v>18.600000000000001</v>
      </c>
      <c r="N279" s="18">
        <v>5.3</v>
      </c>
      <c r="O279" s="18">
        <v>165.6</v>
      </c>
      <c r="P279" s="18"/>
    </row>
    <row r="280" spans="1:16" x14ac:dyDescent="0.2">
      <c r="A280" s="23">
        <v>46074</v>
      </c>
      <c r="B280" s="18" t="s">
        <v>40</v>
      </c>
      <c r="C280" s="18" t="s">
        <v>15</v>
      </c>
      <c r="D280" s="18">
        <v>3810</v>
      </c>
      <c r="E280" s="18" t="s">
        <v>679</v>
      </c>
      <c r="F280" s="18">
        <v>218.3</v>
      </c>
      <c r="G280" s="18">
        <v>150</v>
      </c>
      <c r="H280" s="18">
        <v>12</v>
      </c>
      <c r="I280" s="18">
        <v>125</v>
      </c>
      <c r="J280" s="8">
        <f t="shared" si="9"/>
        <v>1925</v>
      </c>
      <c r="K280" s="27">
        <f t="shared" si="8"/>
        <v>1.5574896930829134E-2</v>
      </c>
      <c r="L280" s="18">
        <v>3.4</v>
      </c>
      <c r="M280" s="18"/>
      <c r="N280" s="18"/>
      <c r="O280" s="18"/>
      <c r="P280" s="18"/>
    </row>
    <row r="281" spans="1:16" x14ac:dyDescent="0.2">
      <c r="A281" s="23">
        <v>46074</v>
      </c>
      <c r="B281" s="18" t="s">
        <v>40</v>
      </c>
      <c r="C281" s="18" t="s">
        <v>20</v>
      </c>
      <c r="D281" s="18">
        <v>3825</v>
      </c>
      <c r="E281" s="18" t="s">
        <v>672</v>
      </c>
      <c r="F281" s="18">
        <v>191.6</v>
      </c>
      <c r="G281" s="18">
        <v>2000</v>
      </c>
      <c r="H281" s="18">
        <v>18</v>
      </c>
      <c r="I281" s="18">
        <v>1200</v>
      </c>
      <c r="J281" s="8">
        <f t="shared" si="9"/>
        <v>37200</v>
      </c>
      <c r="K281" s="27">
        <f t="shared" si="8"/>
        <v>2.6096033402922755E-3</v>
      </c>
      <c r="L281" s="18">
        <v>0.5</v>
      </c>
      <c r="M281" s="18"/>
      <c r="N281" s="18"/>
      <c r="O281" s="18"/>
      <c r="P281" s="18"/>
    </row>
    <row r="282" spans="1:16" x14ac:dyDescent="0.2">
      <c r="A282" s="23">
        <v>46074</v>
      </c>
      <c r="B282" s="18" t="s">
        <v>40</v>
      </c>
      <c r="C282" s="18" t="s">
        <v>15</v>
      </c>
      <c r="D282" s="18">
        <v>3812</v>
      </c>
      <c r="E282" s="18" t="s">
        <v>680</v>
      </c>
      <c r="F282" s="18">
        <v>143.19999999999999</v>
      </c>
      <c r="G282" s="18">
        <v>250</v>
      </c>
      <c r="H282" s="18">
        <v>7</v>
      </c>
      <c r="I282" s="18">
        <v>150</v>
      </c>
      <c r="J282" s="8">
        <f t="shared" si="9"/>
        <v>1900</v>
      </c>
      <c r="K282" s="27">
        <f t="shared" si="8"/>
        <v>1.8156424581005588E-2</v>
      </c>
      <c r="L282" s="18">
        <v>2.6</v>
      </c>
      <c r="M282" s="18"/>
      <c r="N282" s="18"/>
      <c r="O282" s="18"/>
      <c r="P282" s="18"/>
    </row>
    <row r="283" spans="1:16" x14ac:dyDescent="0.2">
      <c r="A283" s="23">
        <v>46074</v>
      </c>
      <c r="B283" s="18" t="s">
        <v>40</v>
      </c>
      <c r="C283" s="18" t="s">
        <v>15</v>
      </c>
      <c r="D283" s="18">
        <v>3748</v>
      </c>
      <c r="E283" s="18" t="s">
        <v>200</v>
      </c>
      <c r="F283" s="18">
        <v>393.5</v>
      </c>
      <c r="G283" s="18">
        <v>1500</v>
      </c>
      <c r="H283" s="18">
        <v>40</v>
      </c>
      <c r="I283" s="18"/>
      <c r="J283" s="8">
        <f t="shared" si="9"/>
        <v>60000</v>
      </c>
      <c r="K283" s="27">
        <f t="shared" si="8"/>
        <v>7.9243353783231083E-3</v>
      </c>
      <c r="L283" s="18">
        <v>3.1</v>
      </c>
      <c r="M283" s="18"/>
      <c r="N283" s="18"/>
      <c r="O283" s="18">
        <v>2.2999999999999998</v>
      </c>
      <c r="P283" s="18"/>
    </row>
    <row r="284" spans="1:16" x14ac:dyDescent="0.2">
      <c r="A284" s="23">
        <v>46074</v>
      </c>
      <c r="B284" s="18" t="s">
        <v>40</v>
      </c>
      <c r="C284" s="18" t="s">
        <v>24</v>
      </c>
      <c r="D284" s="18">
        <v>3720</v>
      </c>
      <c r="E284" s="18" t="s">
        <v>681</v>
      </c>
      <c r="F284" s="18">
        <v>67.7</v>
      </c>
      <c r="G284" s="18">
        <v>1000</v>
      </c>
      <c r="H284" s="18">
        <v>5</v>
      </c>
      <c r="I284" s="18"/>
      <c r="J284" s="8">
        <f t="shared" si="9"/>
        <v>5000</v>
      </c>
      <c r="K284" s="27">
        <f t="shared" si="8"/>
        <v>2.3633677991137372E-2</v>
      </c>
      <c r="L284" s="18">
        <v>1.6</v>
      </c>
      <c r="M284" s="18"/>
      <c r="N284" s="18"/>
      <c r="O284" s="18"/>
      <c r="P284" s="18"/>
    </row>
    <row r="285" spans="1:16" x14ac:dyDescent="0.2">
      <c r="A285" s="23">
        <v>46074</v>
      </c>
      <c r="B285" s="18" t="s">
        <v>40</v>
      </c>
      <c r="C285" s="18" t="s">
        <v>20</v>
      </c>
      <c r="D285" s="18">
        <v>3848</v>
      </c>
      <c r="E285" s="18" t="s">
        <v>682</v>
      </c>
      <c r="F285" s="18">
        <v>579.1</v>
      </c>
      <c r="G285" s="18">
        <v>300</v>
      </c>
      <c r="H285" s="18">
        <v>38</v>
      </c>
      <c r="I285" s="18">
        <v>250</v>
      </c>
      <c r="J285" s="8">
        <f t="shared" si="9"/>
        <v>11650</v>
      </c>
      <c r="K285" s="27">
        <f t="shared" si="8"/>
        <v>5.1804524261785528E-3</v>
      </c>
      <c r="L285" s="18">
        <v>3</v>
      </c>
      <c r="M285" s="18"/>
      <c r="N285" s="18"/>
      <c r="O285" s="18"/>
      <c r="P285" s="18" t="s">
        <v>683</v>
      </c>
    </row>
    <row r="286" spans="1:16" x14ac:dyDescent="0.2">
      <c r="A286" s="23">
        <v>46074</v>
      </c>
      <c r="B286" s="18" t="s">
        <v>40</v>
      </c>
      <c r="C286" s="18" t="s">
        <v>20</v>
      </c>
      <c r="D286" s="18">
        <v>3847</v>
      </c>
      <c r="E286" s="18" t="s">
        <v>684</v>
      </c>
      <c r="F286" s="18">
        <v>235.6</v>
      </c>
      <c r="G286" s="18">
        <v>600</v>
      </c>
      <c r="H286" s="18">
        <v>13</v>
      </c>
      <c r="I286" s="18">
        <v>200</v>
      </c>
      <c r="J286" s="8">
        <f t="shared" si="9"/>
        <v>8000</v>
      </c>
      <c r="K286" s="27">
        <f t="shared" si="8"/>
        <v>3.8200339558573855E-3</v>
      </c>
      <c r="L286" s="18">
        <v>0.9</v>
      </c>
      <c r="M286" s="18"/>
      <c r="N286" s="18">
        <v>25.3</v>
      </c>
      <c r="O286" s="18"/>
      <c r="P286" s="18" t="s">
        <v>683</v>
      </c>
    </row>
    <row r="287" spans="1:16" x14ac:dyDescent="0.2">
      <c r="A287" s="23">
        <v>46074</v>
      </c>
      <c r="B287" s="18" t="s">
        <v>40</v>
      </c>
      <c r="C287" s="18" t="s">
        <v>20</v>
      </c>
      <c r="D287" s="18">
        <v>3789</v>
      </c>
      <c r="E287" s="18" t="s">
        <v>685</v>
      </c>
      <c r="F287" s="18">
        <v>95.3</v>
      </c>
      <c r="G287" s="18">
        <v>2000</v>
      </c>
      <c r="H287" s="18">
        <v>8</v>
      </c>
      <c r="I287" s="18"/>
      <c r="J287" s="8">
        <f t="shared" si="9"/>
        <v>16000</v>
      </c>
      <c r="K287" s="27">
        <f t="shared" si="8"/>
        <v>4.1972717733473244E-3</v>
      </c>
      <c r="L287" s="18">
        <v>0.4</v>
      </c>
      <c r="M287" s="18"/>
      <c r="N287" s="18"/>
      <c r="O287" s="18"/>
      <c r="P287" s="18"/>
    </row>
    <row r="288" spans="1:16" x14ac:dyDescent="0.2">
      <c r="A288" s="23">
        <v>46075</v>
      </c>
      <c r="B288" s="18" t="s">
        <v>54</v>
      </c>
      <c r="C288" s="18" t="s">
        <v>15</v>
      </c>
      <c r="D288" s="18">
        <v>3748</v>
      </c>
      <c r="E288" s="18" t="s">
        <v>73</v>
      </c>
      <c r="F288" s="18"/>
      <c r="G288" s="18">
        <v>1500</v>
      </c>
      <c r="H288" s="18">
        <v>21</v>
      </c>
      <c r="I288" s="18">
        <v>400</v>
      </c>
      <c r="J288" s="8">
        <f t="shared" si="9"/>
        <v>31900</v>
      </c>
      <c r="K288" s="27">
        <f t="shared" si="8"/>
        <v>0</v>
      </c>
      <c r="L288" s="18"/>
      <c r="M288" s="18"/>
      <c r="N288" s="18"/>
      <c r="O288" s="18">
        <v>1.5</v>
      </c>
      <c r="P288" s="18"/>
    </row>
    <row r="289" spans="1:16" x14ac:dyDescent="0.2">
      <c r="A289" s="23">
        <v>46075</v>
      </c>
      <c r="B289" s="18" t="s">
        <v>54</v>
      </c>
      <c r="C289" s="18" t="s">
        <v>20</v>
      </c>
      <c r="D289" s="18">
        <v>3789</v>
      </c>
      <c r="E289" s="18" t="s">
        <v>685</v>
      </c>
      <c r="F289" s="18">
        <v>25.5</v>
      </c>
      <c r="G289" s="18">
        <v>2000</v>
      </c>
      <c r="H289" s="18">
        <v>2</v>
      </c>
      <c r="I289" s="18">
        <v>500</v>
      </c>
      <c r="J289" s="8">
        <f t="shared" si="9"/>
        <v>4500</v>
      </c>
      <c r="K289" s="27">
        <f t="shared" si="8"/>
        <v>3.9215686274509803E-3</v>
      </c>
      <c r="L289" s="18">
        <v>0.1</v>
      </c>
      <c r="M289" s="18"/>
      <c r="N289" s="18"/>
      <c r="O289" s="18"/>
      <c r="P289" s="18"/>
    </row>
    <row r="290" spans="1:16" x14ac:dyDescent="0.2">
      <c r="A290" s="23">
        <v>46075</v>
      </c>
      <c r="B290" s="18" t="s">
        <v>54</v>
      </c>
      <c r="C290" s="18" t="s">
        <v>33</v>
      </c>
      <c r="D290" s="18">
        <v>3743</v>
      </c>
      <c r="E290" s="18" t="s">
        <v>161</v>
      </c>
      <c r="F290" s="18">
        <v>178.6</v>
      </c>
      <c r="G290" s="18">
        <v>500</v>
      </c>
      <c r="H290" s="18">
        <v>12</v>
      </c>
      <c r="I290" s="18">
        <v>237</v>
      </c>
      <c r="J290" s="8">
        <f t="shared" si="9"/>
        <v>6237</v>
      </c>
      <c r="K290" s="27">
        <f t="shared" si="8"/>
        <v>1.7777777777777778E-2</v>
      </c>
      <c r="L290" s="18">
        <v>2.8</v>
      </c>
      <c r="M290" s="18">
        <v>9</v>
      </c>
      <c r="N290" s="18"/>
      <c r="O290" s="18">
        <v>21.1</v>
      </c>
      <c r="P290" s="18"/>
    </row>
    <row r="291" spans="1:16" x14ac:dyDescent="0.2">
      <c r="A291" s="23">
        <v>46075</v>
      </c>
      <c r="B291" s="18" t="s">
        <v>54</v>
      </c>
      <c r="C291" s="18" t="s">
        <v>24</v>
      </c>
      <c r="D291" s="18">
        <v>3720</v>
      </c>
      <c r="E291" s="18" t="s">
        <v>681</v>
      </c>
      <c r="F291" s="18">
        <v>206.4</v>
      </c>
      <c r="G291" s="18">
        <v>1000</v>
      </c>
      <c r="H291" s="18">
        <v>19</v>
      </c>
      <c r="I291" s="18">
        <v>260</v>
      </c>
      <c r="J291" s="8">
        <f t="shared" si="9"/>
        <v>19260</v>
      </c>
      <c r="K291" s="27">
        <f t="shared" si="8"/>
        <v>8.2364341085271308E-3</v>
      </c>
      <c r="L291" s="18">
        <v>1.7</v>
      </c>
      <c r="M291" s="18">
        <v>6.5</v>
      </c>
      <c r="N291" s="18"/>
      <c r="O291" s="18"/>
      <c r="P291" s="18"/>
    </row>
    <row r="292" spans="1:16" x14ac:dyDescent="0.2">
      <c r="A292" s="23">
        <v>46075</v>
      </c>
      <c r="B292" s="18" t="s">
        <v>54</v>
      </c>
      <c r="C292" s="18" t="s">
        <v>27</v>
      </c>
      <c r="D292" s="18">
        <v>3535</v>
      </c>
      <c r="E292" s="18" t="s">
        <v>482</v>
      </c>
      <c r="F292" s="18">
        <v>193.9</v>
      </c>
      <c r="G292" s="18">
        <v>2000</v>
      </c>
      <c r="H292" s="18">
        <v>32</v>
      </c>
      <c r="I292" s="18">
        <v>1600</v>
      </c>
      <c r="J292" s="8">
        <f t="shared" si="9"/>
        <v>65600</v>
      </c>
      <c r="K292" s="27">
        <f t="shared" ref="K292:K355" si="10">IFERROR(L292/(F292-O292)*100%,0)</f>
        <v>1.7534811758638472E-2</v>
      </c>
      <c r="L292" s="18">
        <v>3.4</v>
      </c>
      <c r="M292" s="18"/>
      <c r="N292" s="18"/>
      <c r="O292" s="18"/>
      <c r="P292" s="18"/>
    </row>
    <row r="293" spans="1:16" x14ac:dyDescent="0.2">
      <c r="A293" s="23">
        <v>46075</v>
      </c>
      <c r="B293" s="18" t="s">
        <v>54</v>
      </c>
      <c r="C293" s="18" t="s">
        <v>20</v>
      </c>
      <c r="D293" s="18">
        <v>3745</v>
      </c>
      <c r="E293" s="18" t="s">
        <v>246</v>
      </c>
      <c r="F293" s="18">
        <v>327.10000000000002</v>
      </c>
      <c r="G293" s="18">
        <v>1000</v>
      </c>
      <c r="H293" s="18">
        <v>34</v>
      </c>
      <c r="I293" s="18">
        <v>1100</v>
      </c>
      <c r="J293" s="8">
        <f t="shared" si="9"/>
        <v>35100</v>
      </c>
      <c r="K293" s="27">
        <f t="shared" si="10"/>
        <v>1.5591562213390399E-2</v>
      </c>
      <c r="L293" s="18">
        <v>5.0999999999999996</v>
      </c>
      <c r="M293" s="18"/>
      <c r="N293" s="18"/>
      <c r="O293" s="18"/>
      <c r="P293" s="18"/>
    </row>
    <row r="294" spans="1:16" x14ac:dyDescent="0.2">
      <c r="A294" s="23">
        <v>46075</v>
      </c>
      <c r="B294" s="18" t="s">
        <v>54</v>
      </c>
      <c r="C294" s="18" t="s">
        <v>33</v>
      </c>
      <c r="D294" s="18">
        <v>3700</v>
      </c>
      <c r="E294" s="18" t="s">
        <v>686</v>
      </c>
      <c r="F294" s="18">
        <v>173.5</v>
      </c>
      <c r="G294" s="18">
        <v>500</v>
      </c>
      <c r="H294" s="18">
        <v>20</v>
      </c>
      <c r="I294" s="18">
        <v>60</v>
      </c>
      <c r="J294" s="8">
        <f t="shared" si="9"/>
        <v>10060</v>
      </c>
      <c r="K294" s="27">
        <f t="shared" si="10"/>
        <v>2.2609819121447026E-2</v>
      </c>
      <c r="L294" s="18">
        <v>3.5</v>
      </c>
      <c r="M294" s="18"/>
      <c r="N294" s="18"/>
      <c r="O294" s="18">
        <v>18.7</v>
      </c>
      <c r="P294" s="18"/>
    </row>
    <row r="295" spans="1:16" x14ac:dyDescent="0.2">
      <c r="A295" s="23">
        <v>46075</v>
      </c>
      <c r="B295" s="18" t="s">
        <v>54</v>
      </c>
      <c r="C295" s="18" t="s">
        <v>33</v>
      </c>
      <c r="D295" s="18">
        <v>3801</v>
      </c>
      <c r="E295" s="18" t="s">
        <v>687</v>
      </c>
      <c r="F295" s="18">
        <v>456</v>
      </c>
      <c r="G295" s="18">
        <v>500</v>
      </c>
      <c r="H295" s="18">
        <v>49</v>
      </c>
      <c r="I295" s="18">
        <v>60</v>
      </c>
      <c r="J295" s="8">
        <f t="shared" si="9"/>
        <v>24560</v>
      </c>
      <c r="K295" s="27">
        <f t="shared" si="10"/>
        <v>1.6280217069560926E-2</v>
      </c>
      <c r="L295" s="18">
        <v>6.6</v>
      </c>
      <c r="M295" s="18">
        <v>2.7</v>
      </c>
      <c r="N295" s="18"/>
      <c r="O295" s="18">
        <v>50.6</v>
      </c>
      <c r="P295" s="18"/>
    </row>
    <row r="296" spans="1:16" x14ac:dyDescent="0.2">
      <c r="A296" s="23">
        <v>46075</v>
      </c>
      <c r="B296" s="18" t="s">
        <v>54</v>
      </c>
      <c r="C296" s="18" t="s">
        <v>15</v>
      </c>
      <c r="D296" s="18">
        <v>3840</v>
      </c>
      <c r="E296" s="18" t="s">
        <v>251</v>
      </c>
      <c r="F296" s="18">
        <v>183.9</v>
      </c>
      <c r="G296" s="18">
        <v>1500</v>
      </c>
      <c r="H296" s="18">
        <v>21</v>
      </c>
      <c r="I296" s="18"/>
      <c r="J296" s="8">
        <f t="shared" si="9"/>
        <v>31500</v>
      </c>
      <c r="K296" s="27">
        <f t="shared" si="10"/>
        <v>1.4138118542686243E-2</v>
      </c>
      <c r="L296" s="18">
        <v>2.6</v>
      </c>
      <c r="M296" s="18">
        <v>1.1000000000000001</v>
      </c>
      <c r="N296" s="18"/>
      <c r="O296" s="18"/>
      <c r="P296" s="18"/>
    </row>
    <row r="297" spans="1:16" x14ac:dyDescent="0.2">
      <c r="A297" s="23">
        <v>46075</v>
      </c>
      <c r="B297" s="18" t="s">
        <v>54</v>
      </c>
      <c r="C297" s="18" t="s">
        <v>33</v>
      </c>
      <c r="D297" s="18">
        <v>3802</v>
      </c>
      <c r="E297" s="18" t="s">
        <v>263</v>
      </c>
      <c r="F297" s="18">
        <v>467.9</v>
      </c>
      <c r="G297" s="18">
        <v>500</v>
      </c>
      <c r="H297" s="18">
        <v>37</v>
      </c>
      <c r="I297" s="18">
        <v>430</v>
      </c>
      <c r="J297" s="8">
        <f t="shared" si="9"/>
        <v>18930</v>
      </c>
      <c r="K297" s="27">
        <f t="shared" si="10"/>
        <v>9.8534613441131902E-3</v>
      </c>
      <c r="L297" s="18">
        <v>3.9</v>
      </c>
      <c r="M297" s="18">
        <v>3</v>
      </c>
      <c r="N297" s="18"/>
      <c r="O297" s="18">
        <v>72.099999999999994</v>
      </c>
      <c r="P297" s="18"/>
    </row>
    <row r="298" spans="1:16" x14ac:dyDescent="0.2">
      <c r="A298" s="23">
        <v>46075</v>
      </c>
      <c r="B298" s="18" t="s">
        <v>54</v>
      </c>
      <c r="C298" s="18" t="s">
        <v>24</v>
      </c>
      <c r="D298" s="18">
        <v>3719</v>
      </c>
      <c r="E298" s="18" t="s">
        <v>688</v>
      </c>
      <c r="F298" s="18">
        <v>162.30000000000001</v>
      </c>
      <c r="G298" s="18">
        <v>1000</v>
      </c>
      <c r="H298" s="18">
        <v>21</v>
      </c>
      <c r="I298" s="18"/>
      <c r="J298" s="8">
        <f t="shared" si="9"/>
        <v>21000</v>
      </c>
      <c r="K298" s="27">
        <f t="shared" si="10"/>
        <v>6.1614294516327784E-3</v>
      </c>
      <c r="L298" s="18">
        <v>1</v>
      </c>
      <c r="M298" s="18">
        <v>3.3</v>
      </c>
      <c r="N298" s="18"/>
      <c r="O298" s="18"/>
      <c r="P298" s="18"/>
    </row>
    <row r="299" spans="1:16" x14ac:dyDescent="0.2">
      <c r="A299" s="23">
        <v>46075</v>
      </c>
      <c r="B299" s="18" t="s">
        <v>54</v>
      </c>
      <c r="C299" s="18" t="s">
        <v>33</v>
      </c>
      <c r="D299" s="18">
        <v>3794</v>
      </c>
      <c r="E299" s="18" t="s">
        <v>323</v>
      </c>
      <c r="F299" s="18">
        <v>182.8</v>
      </c>
      <c r="G299" s="18">
        <v>500</v>
      </c>
      <c r="H299" s="18">
        <v>18</v>
      </c>
      <c r="I299" s="18"/>
      <c r="J299" s="8">
        <f t="shared" si="9"/>
        <v>9000</v>
      </c>
      <c r="K299" s="27">
        <f t="shared" si="10"/>
        <v>0</v>
      </c>
      <c r="L299" s="18"/>
      <c r="M299" s="18">
        <v>2.2000000000000002</v>
      </c>
      <c r="N299" s="18"/>
      <c r="O299" s="18">
        <v>25.1</v>
      </c>
      <c r="P299" s="18"/>
    </row>
    <row r="300" spans="1:16" x14ac:dyDescent="0.2">
      <c r="A300" s="23">
        <v>46075</v>
      </c>
      <c r="B300" s="18" t="s">
        <v>54</v>
      </c>
      <c r="C300" s="18" t="s">
        <v>20</v>
      </c>
      <c r="D300" s="18">
        <v>3879</v>
      </c>
      <c r="E300" s="18" t="s">
        <v>689</v>
      </c>
      <c r="F300" s="18">
        <v>55.3</v>
      </c>
      <c r="G300" s="18">
        <v>1600</v>
      </c>
      <c r="H300" s="18">
        <v>6</v>
      </c>
      <c r="I300" s="18"/>
      <c r="J300" s="8">
        <f t="shared" si="9"/>
        <v>9600</v>
      </c>
      <c r="K300" s="27">
        <f t="shared" si="10"/>
        <v>1.62748643761302E-2</v>
      </c>
      <c r="L300" s="18">
        <v>0.9</v>
      </c>
      <c r="M300" s="18"/>
      <c r="N300" s="18"/>
      <c r="O300" s="18"/>
      <c r="P300" s="18"/>
    </row>
    <row r="301" spans="1:16" x14ac:dyDescent="0.2">
      <c r="A301" s="23">
        <v>46075</v>
      </c>
      <c r="B301" s="18" t="s">
        <v>54</v>
      </c>
      <c r="C301" s="18" t="s">
        <v>20</v>
      </c>
      <c r="D301" s="18">
        <v>3887</v>
      </c>
      <c r="E301" s="18" t="s">
        <v>393</v>
      </c>
      <c r="F301" s="18">
        <v>39.200000000000003</v>
      </c>
      <c r="G301" s="18">
        <v>1000</v>
      </c>
      <c r="H301" s="18">
        <v>3</v>
      </c>
      <c r="I301" s="18">
        <v>200</v>
      </c>
      <c r="J301" s="8">
        <f t="shared" si="9"/>
        <v>3200</v>
      </c>
      <c r="K301" s="27">
        <f t="shared" si="10"/>
        <v>1.020408163265306E-2</v>
      </c>
      <c r="L301" s="18">
        <v>0.4</v>
      </c>
      <c r="M301" s="18"/>
      <c r="N301" s="18"/>
      <c r="O301" s="18"/>
      <c r="P301" s="18"/>
    </row>
    <row r="302" spans="1:16" x14ac:dyDescent="0.2">
      <c r="A302" s="23">
        <v>46076</v>
      </c>
      <c r="B302" s="18" t="s">
        <v>40</v>
      </c>
      <c r="C302" s="18" t="s">
        <v>24</v>
      </c>
      <c r="D302" s="18">
        <v>3719</v>
      </c>
      <c r="E302" s="18" t="s">
        <v>688</v>
      </c>
      <c r="F302" s="18">
        <v>43.2</v>
      </c>
      <c r="G302" s="18">
        <v>1000</v>
      </c>
      <c r="H302" s="18">
        <v>3</v>
      </c>
      <c r="I302" s="18"/>
      <c r="J302" s="8">
        <f t="shared" si="9"/>
        <v>3000</v>
      </c>
      <c r="K302" s="27">
        <f t="shared" si="10"/>
        <v>2.7777777777777776E-2</v>
      </c>
      <c r="L302" s="18">
        <v>1.2</v>
      </c>
      <c r="M302" s="18"/>
      <c r="N302" s="18"/>
      <c r="O302" s="18"/>
      <c r="P302" s="18"/>
    </row>
    <row r="303" spans="1:16" x14ac:dyDescent="0.2">
      <c r="A303" s="23">
        <v>46076</v>
      </c>
      <c r="B303" s="18" t="s">
        <v>40</v>
      </c>
      <c r="C303" s="18" t="s">
        <v>24</v>
      </c>
      <c r="D303" s="18">
        <v>3878</v>
      </c>
      <c r="E303" s="18" t="s">
        <v>408</v>
      </c>
      <c r="F303" s="18">
        <v>120.6</v>
      </c>
      <c r="G303" s="18">
        <v>2000</v>
      </c>
      <c r="H303" s="18">
        <v>14</v>
      </c>
      <c r="I303" s="18"/>
      <c r="J303" s="8">
        <f t="shared" si="9"/>
        <v>28000</v>
      </c>
      <c r="K303" s="27">
        <f t="shared" si="10"/>
        <v>3.3167495854063023E-3</v>
      </c>
      <c r="L303" s="18">
        <v>0.4</v>
      </c>
      <c r="M303" s="18"/>
      <c r="N303" s="18"/>
      <c r="O303" s="18"/>
      <c r="P303" s="18"/>
    </row>
    <row r="304" spans="1:16" x14ac:dyDescent="0.2">
      <c r="A304" s="23">
        <v>46076</v>
      </c>
      <c r="B304" s="18" t="s">
        <v>40</v>
      </c>
      <c r="C304" s="18" t="s">
        <v>27</v>
      </c>
      <c r="D304" s="18">
        <v>3548</v>
      </c>
      <c r="E304" s="18" t="s">
        <v>690</v>
      </c>
      <c r="F304" s="18">
        <v>274.10000000000002</v>
      </c>
      <c r="G304" s="18">
        <v>2000</v>
      </c>
      <c r="H304" s="18">
        <v>23</v>
      </c>
      <c r="I304" s="18">
        <v>1300</v>
      </c>
      <c r="J304" s="8">
        <f t="shared" si="9"/>
        <v>47300</v>
      </c>
      <c r="K304" s="27">
        <f t="shared" si="10"/>
        <v>0</v>
      </c>
      <c r="L304" s="18"/>
      <c r="M304" s="18">
        <v>5.2</v>
      </c>
      <c r="N304" s="18"/>
      <c r="O304" s="18"/>
      <c r="P304" s="18"/>
    </row>
    <row r="305" spans="1:16" x14ac:dyDescent="0.2">
      <c r="A305" s="23">
        <v>46076</v>
      </c>
      <c r="B305" s="18" t="s">
        <v>40</v>
      </c>
      <c r="C305" s="18" t="s">
        <v>27</v>
      </c>
      <c r="D305" s="18">
        <v>3618</v>
      </c>
      <c r="E305" s="18" t="s">
        <v>691</v>
      </c>
      <c r="F305" s="18">
        <v>36.4</v>
      </c>
      <c r="G305" s="18">
        <v>1600</v>
      </c>
      <c r="H305" s="18">
        <v>6</v>
      </c>
      <c r="I305" s="18">
        <v>800</v>
      </c>
      <c r="J305" s="8">
        <f t="shared" si="9"/>
        <v>10400</v>
      </c>
      <c r="K305" s="27">
        <f t="shared" si="10"/>
        <v>0</v>
      </c>
      <c r="L305" s="18"/>
      <c r="M305" s="18"/>
      <c r="N305" s="18"/>
      <c r="O305" s="18"/>
      <c r="P305" s="18"/>
    </row>
    <row r="306" spans="1:16" x14ac:dyDescent="0.2">
      <c r="A306" s="23">
        <v>46076</v>
      </c>
      <c r="B306" s="18" t="s">
        <v>40</v>
      </c>
      <c r="C306" s="18" t="s">
        <v>33</v>
      </c>
      <c r="D306" s="18">
        <v>3794</v>
      </c>
      <c r="E306" s="18" t="s">
        <v>323</v>
      </c>
      <c r="F306" s="18">
        <v>1037</v>
      </c>
      <c r="G306" s="18">
        <v>500</v>
      </c>
      <c r="H306" s="18">
        <v>103</v>
      </c>
      <c r="I306" s="18">
        <v>175</v>
      </c>
      <c r="J306" s="8">
        <f t="shared" si="9"/>
        <v>51675</v>
      </c>
      <c r="K306" s="27">
        <f t="shared" si="10"/>
        <v>9.8425196850393699E-3</v>
      </c>
      <c r="L306" s="18">
        <v>9</v>
      </c>
      <c r="M306" s="18">
        <v>13.7</v>
      </c>
      <c r="N306" s="18"/>
      <c r="O306" s="18">
        <v>122.6</v>
      </c>
      <c r="P306" s="18"/>
    </row>
    <row r="307" spans="1:16" x14ac:dyDescent="0.2">
      <c r="A307" s="23">
        <v>46076</v>
      </c>
      <c r="B307" s="18" t="s">
        <v>40</v>
      </c>
      <c r="C307" s="18" t="s">
        <v>15</v>
      </c>
      <c r="D307" s="18">
        <v>3840</v>
      </c>
      <c r="E307" s="18" t="s">
        <v>251</v>
      </c>
      <c r="F307" s="18">
        <v>133.6</v>
      </c>
      <c r="G307" s="18">
        <v>1500</v>
      </c>
      <c r="H307" s="18">
        <v>10</v>
      </c>
      <c r="I307" s="18">
        <v>400</v>
      </c>
      <c r="J307" s="8">
        <f t="shared" si="9"/>
        <v>15400</v>
      </c>
      <c r="K307" s="27">
        <f t="shared" si="10"/>
        <v>3.0688622754491017E-2</v>
      </c>
      <c r="L307" s="18">
        <v>4.0999999999999996</v>
      </c>
      <c r="M307" s="18"/>
      <c r="N307" s="18"/>
      <c r="O307" s="18"/>
      <c r="P307" s="18"/>
    </row>
    <row r="308" spans="1:16" x14ac:dyDescent="0.2">
      <c r="A308" s="23">
        <v>46076</v>
      </c>
      <c r="B308" s="18" t="s">
        <v>40</v>
      </c>
      <c r="C308" s="18" t="s">
        <v>15</v>
      </c>
      <c r="D308" s="18">
        <v>3732</v>
      </c>
      <c r="E308" s="18" t="s">
        <v>692</v>
      </c>
      <c r="F308" s="18">
        <v>165.8</v>
      </c>
      <c r="G308" s="18">
        <v>1000</v>
      </c>
      <c r="H308" s="18">
        <v>13</v>
      </c>
      <c r="I308" s="18"/>
      <c r="J308" s="8">
        <f t="shared" si="9"/>
        <v>13000</v>
      </c>
      <c r="K308" s="27">
        <f t="shared" si="10"/>
        <v>2.4125452352231604E-2</v>
      </c>
      <c r="L308" s="18">
        <v>4</v>
      </c>
      <c r="M308" s="18"/>
      <c r="N308" s="18"/>
      <c r="O308" s="18"/>
      <c r="P308" s="18"/>
    </row>
    <row r="309" spans="1:16" x14ac:dyDescent="0.2">
      <c r="A309" s="23">
        <v>46076</v>
      </c>
      <c r="B309" s="18" t="s">
        <v>40</v>
      </c>
      <c r="C309" s="18" t="s">
        <v>20</v>
      </c>
      <c r="D309" s="18">
        <v>3879</v>
      </c>
      <c r="E309" s="18" t="s">
        <v>689</v>
      </c>
      <c r="F309" s="18">
        <v>283.89999999999998</v>
      </c>
      <c r="G309" s="18">
        <v>1600</v>
      </c>
      <c r="H309" s="18">
        <v>24</v>
      </c>
      <c r="I309" s="18">
        <v>750</v>
      </c>
      <c r="J309" s="8">
        <f t="shared" si="9"/>
        <v>39150</v>
      </c>
      <c r="K309" s="27">
        <f t="shared" si="10"/>
        <v>1.4089468122578375E-3</v>
      </c>
      <c r="L309" s="18">
        <v>0.4</v>
      </c>
      <c r="M309" s="18"/>
      <c r="N309" s="18"/>
      <c r="O309" s="18"/>
      <c r="P309" s="18"/>
    </row>
    <row r="310" spans="1:16" x14ac:dyDescent="0.2">
      <c r="A310" s="23">
        <v>46076</v>
      </c>
      <c r="B310" s="18" t="s">
        <v>40</v>
      </c>
      <c r="C310" s="18" t="s">
        <v>20</v>
      </c>
      <c r="D310" s="18">
        <v>3816</v>
      </c>
      <c r="E310" s="18" t="s">
        <v>693</v>
      </c>
      <c r="F310" s="18">
        <v>236.3</v>
      </c>
      <c r="G310" s="18">
        <v>2000</v>
      </c>
      <c r="H310" s="18">
        <v>25</v>
      </c>
      <c r="I310" s="18">
        <v>1600</v>
      </c>
      <c r="J310" s="8">
        <f t="shared" si="9"/>
        <v>51600</v>
      </c>
      <c r="K310" s="27">
        <f t="shared" si="10"/>
        <v>4.6550994498518834E-3</v>
      </c>
      <c r="L310" s="18">
        <v>1.1000000000000001</v>
      </c>
      <c r="M310" s="18"/>
      <c r="N310" s="18"/>
      <c r="O310" s="18"/>
      <c r="P310" s="18"/>
    </row>
    <row r="311" spans="1:16" x14ac:dyDescent="0.2">
      <c r="A311" s="23">
        <v>46076</v>
      </c>
      <c r="B311" s="18" t="s">
        <v>40</v>
      </c>
      <c r="C311" s="18" t="s">
        <v>27</v>
      </c>
      <c r="D311" s="18">
        <v>3804</v>
      </c>
      <c r="E311" s="18" t="s">
        <v>694</v>
      </c>
      <c r="F311" s="18">
        <v>81.099999999999994</v>
      </c>
      <c r="G311" s="18">
        <v>1000</v>
      </c>
      <c r="H311" s="18">
        <v>16</v>
      </c>
      <c r="I311" s="18"/>
      <c r="J311" s="8">
        <f t="shared" si="9"/>
        <v>16000</v>
      </c>
      <c r="K311" s="27">
        <f t="shared" si="10"/>
        <v>2.3427866831072751E-2</v>
      </c>
      <c r="L311" s="18">
        <v>1.9</v>
      </c>
      <c r="M311" s="18"/>
      <c r="N311" s="18"/>
      <c r="O311" s="18"/>
      <c r="P311" s="18"/>
    </row>
    <row r="312" spans="1:16" x14ac:dyDescent="0.2">
      <c r="A312" s="23">
        <v>46076</v>
      </c>
      <c r="B312" s="18" t="s">
        <v>40</v>
      </c>
      <c r="C312" s="18" t="s">
        <v>20</v>
      </c>
      <c r="D312" s="18">
        <v>3786</v>
      </c>
      <c r="E312" s="18" t="s">
        <v>695</v>
      </c>
      <c r="F312" s="18">
        <v>350</v>
      </c>
      <c r="G312" s="18">
        <v>300</v>
      </c>
      <c r="H312" s="18">
        <v>31</v>
      </c>
      <c r="I312" s="18"/>
      <c r="J312" s="8">
        <f t="shared" si="9"/>
        <v>9300</v>
      </c>
      <c r="K312" s="27">
        <f t="shared" si="10"/>
        <v>9.7142857142857135E-3</v>
      </c>
      <c r="L312" s="18">
        <v>3.4</v>
      </c>
      <c r="M312" s="18"/>
      <c r="N312" s="18"/>
      <c r="O312" s="18"/>
      <c r="P312" s="18" t="s">
        <v>696</v>
      </c>
    </row>
    <row r="313" spans="1:16" x14ac:dyDescent="0.2">
      <c r="A313" s="23">
        <v>46076</v>
      </c>
      <c r="B313" s="18" t="s">
        <v>40</v>
      </c>
      <c r="C313" s="18" t="s">
        <v>24</v>
      </c>
      <c r="D313" s="18">
        <v>3667</v>
      </c>
      <c r="E313" s="18" t="s">
        <v>697</v>
      </c>
      <c r="F313" s="18">
        <v>156.19999999999999</v>
      </c>
      <c r="G313" s="18">
        <v>1200</v>
      </c>
      <c r="H313" s="18">
        <v>15</v>
      </c>
      <c r="I313" s="18"/>
      <c r="J313" s="8">
        <f t="shared" si="9"/>
        <v>18000</v>
      </c>
      <c r="K313" s="27">
        <f t="shared" si="10"/>
        <v>4.2253521126760563E-2</v>
      </c>
      <c r="L313" s="18">
        <v>6.6</v>
      </c>
      <c r="M313" s="18"/>
      <c r="N313" s="18"/>
      <c r="O313" s="18"/>
      <c r="P313" s="18"/>
    </row>
    <row r="314" spans="1:16" x14ac:dyDescent="0.2">
      <c r="A314" s="23">
        <v>46076</v>
      </c>
      <c r="B314" s="18" t="s">
        <v>40</v>
      </c>
      <c r="C314" s="18" t="s">
        <v>15</v>
      </c>
      <c r="D314" s="18">
        <v>3788</v>
      </c>
      <c r="E314" s="18" t="s">
        <v>698</v>
      </c>
      <c r="F314" s="18">
        <v>222.9</v>
      </c>
      <c r="G314" s="18">
        <v>200</v>
      </c>
      <c r="H314" s="18">
        <v>15</v>
      </c>
      <c r="I314" s="18">
        <v>100</v>
      </c>
      <c r="J314" s="8">
        <f t="shared" si="9"/>
        <v>3100</v>
      </c>
      <c r="K314" s="27">
        <f t="shared" si="10"/>
        <v>2.6469268730372364E-2</v>
      </c>
      <c r="L314" s="18">
        <v>5.9</v>
      </c>
      <c r="M314" s="18"/>
      <c r="N314" s="18"/>
      <c r="O314" s="18"/>
      <c r="P314" s="18"/>
    </row>
    <row r="315" spans="1:16" x14ac:dyDescent="0.2">
      <c r="A315" s="23">
        <v>46076</v>
      </c>
      <c r="B315" s="18" t="s">
        <v>40</v>
      </c>
      <c r="C315" s="18" t="s">
        <v>15</v>
      </c>
      <c r="D315" s="18">
        <v>3831</v>
      </c>
      <c r="E315" s="18" t="s">
        <v>699</v>
      </c>
      <c r="F315" s="18">
        <v>209.7</v>
      </c>
      <c r="G315" s="18">
        <v>1000</v>
      </c>
      <c r="H315" s="18">
        <v>21</v>
      </c>
      <c r="I315" s="18"/>
      <c r="J315" s="8">
        <f t="shared" si="9"/>
        <v>21000</v>
      </c>
      <c r="K315" s="27">
        <f t="shared" si="10"/>
        <v>8.1068192656175483E-3</v>
      </c>
      <c r="L315" s="18">
        <v>1.7</v>
      </c>
      <c r="M315" s="18"/>
      <c r="N315" s="18"/>
      <c r="O315" s="18"/>
      <c r="P315" s="18"/>
    </row>
    <row r="316" spans="1:16" x14ac:dyDescent="0.2">
      <c r="A316" s="23">
        <v>46076</v>
      </c>
      <c r="B316" s="18" t="s">
        <v>40</v>
      </c>
      <c r="C316" s="18" t="s">
        <v>33</v>
      </c>
      <c r="D316" s="18">
        <v>3867</v>
      </c>
      <c r="E316" s="18" t="s">
        <v>199</v>
      </c>
      <c r="F316" s="18">
        <v>175</v>
      </c>
      <c r="G316" s="18">
        <v>1000</v>
      </c>
      <c r="H316" s="18">
        <v>19</v>
      </c>
      <c r="I316" s="18"/>
      <c r="J316" s="8">
        <f t="shared" si="9"/>
        <v>19000</v>
      </c>
      <c r="K316" s="27">
        <f t="shared" si="10"/>
        <v>8.6493679308050561E-3</v>
      </c>
      <c r="L316" s="18">
        <v>1.3</v>
      </c>
      <c r="M316" s="18"/>
      <c r="N316" s="18"/>
      <c r="O316" s="18">
        <v>24.7</v>
      </c>
      <c r="P316" s="18"/>
    </row>
    <row r="317" spans="1:16" x14ac:dyDescent="0.2">
      <c r="A317" s="23">
        <v>46077</v>
      </c>
      <c r="B317" s="18" t="s">
        <v>423</v>
      </c>
      <c r="C317" s="18" t="s">
        <v>15</v>
      </c>
      <c r="D317" s="18">
        <v>3831</v>
      </c>
      <c r="E317" s="18" t="s">
        <v>699</v>
      </c>
      <c r="F317" s="18">
        <v>993.2</v>
      </c>
      <c r="G317" s="18">
        <v>1000</v>
      </c>
      <c r="H317" s="18">
        <v>84</v>
      </c>
      <c r="I317" s="18"/>
      <c r="J317" s="8">
        <f t="shared" si="9"/>
        <v>84000</v>
      </c>
      <c r="K317" s="27">
        <f t="shared" si="10"/>
        <v>6.0410793395086586E-3</v>
      </c>
      <c r="L317" s="18">
        <v>6</v>
      </c>
      <c r="M317" s="18"/>
      <c r="N317" s="18"/>
      <c r="O317" s="18"/>
      <c r="P317" s="18"/>
    </row>
    <row r="318" spans="1:16" x14ac:dyDescent="0.2">
      <c r="A318" s="23">
        <v>46077</v>
      </c>
      <c r="B318" s="18" t="s">
        <v>423</v>
      </c>
      <c r="C318" s="18" t="s">
        <v>20</v>
      </c>
      <c r="D318" s="18">
        <v>3786</v>
      </c>
      <c r="E318" s="18" t="s">
        <v>695</v>
      </c>
      <c r="F318" s="18">
        <v>1671.7</v>
      </c>
      <c r="G318" s="18">
        <v>300</v>
      </c>
      <c r="H318" s="18">
        <v>159</v>
      </c>
      <c r="I318" s="18"/>
      <c r="J318" s="8">
        <f t="shared" si="9"/>
        <v>47700</v>
      </c>
      <c r="K318" s="27">
        <f t="shared" si="10"/>
        <v>5.5033797930250641E-3</v>
      </c>
      <c r="L318" s="18">
        <v>9.1999999999999993</v>
      </c>
      <c r="M318" s="18"/>
      <c r="N318" s="18"/>
      <c r="O318" s="18"/>
      <c r="P318" s="18"/>
    </row>
    <row r="319" spans="1:16" x14ac:dyDescent="0.2">
      <c r="A319" s="23">
        <v>46077</v>
      </c>
      <c r="B319" s="18" t="s">
        <v>423</v>
      </c>
      <c r="C319" s="18" t="s">
        <v>24</v>
      </c>
      <c r="D319" s="18">
        <v>3878</v>
      </c>
      <c r="E319" s="18" t="s">
        <v>408</v>
      </c>
      <c r="F319" s="18">
        <v>89</v>
      </c>
      <c r="G319" s="18">
        <v>2000</v>
      </c>
      <c r="H319" s="18">
        <v>10</v>
      </c>
      <c r="I319" s="18">
        <v>300</v>
      </c>
      <c r="J319" s="8">
        <f t="shared" si="9"/>
        <v>20300</v>
      </c>
      <c r="K319" s="27">
        <f t="shared" si="10"/>
        <v>3.3707865168539327E-3</v>
      </c>
      <c r="L319" s="18">
        <v>0.3</v>
      </c>
      <c r="M319" s="18"/>
      <c r="N319" s="18"/>
      <c r="O319" s="18"/>
      <c r="P319" s="18"/>
    </row>
    <row r="320" spans="1:16" x14ac:dyDescent="0.2">
      <c r="A320" s="23">
        <v>46077</v>
      </c>
      <c r="B320" s="18" t="s">
        <v>423</v>
      </c>
      <c r="C320" s="18" t="s">
        <v>24</v>
      </c>
      <c r="D320" s="18">
        <v>3677</v>
      </c>
      <c r="E320" s="18" t="s">
        <v>700</v>
      </c>
      <c r="F320" s="18">
        <v>190.5</v>
      </c>
      <c r="G320" s="18">
        <v>800</v>
      </c>
      <c r="H320" s="18">
        <v>33</v>
      </c>
      <c r="I320" s="18">
        <v>500</v>
      </c>
      <c r="J320" s="8">
        <f t="shared" si="9"/>
        <v>26900</v>
      </c>
      <c r="K320" s="27">
        <f t="shared" si="10"/>
        <v>2.3622047244094488E-2</v>
      </c>
      <c r="L320" s="18">
        <v>4.5</v>
      </c>
      <c r="M320" s="18"/>
      <c r="N320" s="18"/>
      <c r="O320" s="18"/>
      <c r="P320" s="18"/>
    </row>
    <row r="321" spans="1:16" x14ac:dyDescent="0.2">
      <c r="A321" s="23">
        <v>46077</v>
      </c>
      <c r="B321" s="18" t="s">
        <v>423</v>
      </c>
      <c r="C321" s="18" t="s">
        <v>27</v>
      </c>
      <c r="D321" s="18">
        <v>3804</v>
      </c>
      <c r="E321" s="18" t="s">
        <v>694</v>
      </c>
      <c r="F321" s="18">
        <v>143.19999999999999</v>
      </c>
      <c r="G321" s="18">
        <v>1000</v>
      </c>
      <c r="H321" s="18">
        <v>21</v>
      </c>
      <c r="I321" s="18">
        <v>500</v>
      </c>
      <c r="J321" s="8">
        <f t="shared" si="9"/>
        <v>21500</v>
      </c>
      <c r="K321" s="27">
        <f t="shared" si="10"/>
        <v>6.9832402234636876E-3</v>
      </c>
      <c r="L321" s="18">
        <v>1</v>
      </c>
      <c r="M321" s="18"/>
      <c r="N321" s="18"/>
      <c r="O321" s="18"/>
      <c r="P321" s="18"/>
    </row>
    <row r="322" spans="1:16" x14ac:dyDescent="0.2">
      <c r="A322" s="23">
        <v>46077</v>
      </c>
      <c r="B322" s="18" t="s">
        <v>423</v>
      </c>
      <c r="C322" s="18" t="s">
        <v>27</v>
      </c>
      <c r="D322" s="18">
        <v>3613</v>
      </c>
      <c r="E322" s="18" t="s">
        <v>701</v>
      </c>
      <c r="F322" s="18">
        <v>102.9</v>
      </c>
      <c r="G322" s="18">
        <v>500</v>
      </c>
      <c r="H322" s="18">
        <v>12</v>
      </c>
      <c r="I322" s="18">
        <v>250</v>
      </c>
      <c r="J322" s="8">
        <f t="shared" ref="J322:J368" si="11">G322*H322+I322</f>
        <v>6250</v>
      </c>
      <c r="K322" s="27">
        <f t="shared" si="10"/>
        <v>5.0534499514091349E-2</v>
      </c>
      <c r="L322" s="18">
        <v>5.2</v>
      </c>
      <c r="M322" s="18">
        <v>9.1</v>
      </c>
      <c r="N322" s="18"/>
      <c r="O322" s="18"/>
      <c r="P322" s="18"/>
    </row>
    <row r="323" spans="1:16" x14ac:dyDescent="0.2">
      <c r="A323" s="23">
        <v>46077</v>
      </c>
      <c r="B323" s="18" t="s">
        <v>423</v>
      </c>
      <c r="C323" s="18" t="s">
        <v>27</v>
      </c>
      <c r="D323" s="18">
        <v>3612</v>
      </c>
      <c r="E323" s="18" t="s">
        <v>701</v>
      </c>
      <c r="F323" s="18">
        <v>127.8</v>
      </c>
      <c r="G323" s="18">
        <v>500</v>
      </c>
      <c r="H323" s="18">
        <v>13</v>
      </c>
      <c r="I323" s="18">
        <v>150</v>
      </c>
      <c r="J323" s="8">
        <f t="shared" si="11"/>
        <v>6650</v>
      </c>
      <c r="K323" s="27">
        <f t="shared" si="10"/>
        <v>3.8341158059467924E-2</v>
      </c>
      <c r="L323" s="18">
        <v>4.9000000000000004</v>
      </c>
      <c r="M323" s="18">
        <v>3.2</v>
      </c>
      <c r="N323" s="18"/>
      <c r="O323" s="18"/>
      <c r="P323" s="18"/>
    </row>
    <row r="324" spans="1:16" x14ac:dyDescent="0.2">
      <c r="A324" s="23">
        <v>46077</v>
      </c>
      <c r="B324" s="18" t="s">
        <v>423</v>
      </c>
      <c r="C324" s="18" t="s">
        <v>27</v>
      </c>
      <c r="D324" s="18">
        <v>3614</v>
      </c>
      <c r="E324" s="18" t="s">
        <v>701</v>
      </c>
      <c r="F324" s="18">
        <v>107.7</v>
      </c>
      <c r="G324" s="18">
        <v>500</v>
      </c>
      <c r="H324" s="18">
        <v>10</v>
      </c>
      <c r="I324" s="18">
        <v>250</v>
      </c>
      <c r="J324" s="8">
        <f t="shared" si="11"/>
        <v>5250</v>
      </c>
      <c r="K324" s="27">
        <f t="shared" si="10"/>
        <v>5.0766283524904213E-2</v>
      </c>
      <c r="L324" s="18">
        <v>5.3</v>
      </c>
      <c r="M324" s="18">
        <v>7.6</v>
      </c>
      <c r="N324" s="18"/>
      <c r="O324" s="18">
        <v>3.3</v>
      </c>
      <c r="P324" s="18"/>
    </row>
    <row r="325" spans="1:16" x14ac:dyDescent="0.2">
      <c r="A325" s="23">
        <v>46077</v>
      </c>
      <c r="B325" s="18" t="s">
        <v>423</v>
      </c>
      <c r="C325" s="18" t="s">
        <v>33</v>
      </c>
      <c r="D325" s="18">
        <v>3867</v>
      </c>
      <c r="E325" s="18" t="s">
        <v>199</v>
      </c>
      <c r="F325" s="18">
        <v>303.10000000000002</v>
      </c>
      <c r="G325" s="18">
        <v>1000</v>
      </c>
      <c r="H325" s="18">
        <v>32</v>
      </c>
      <c r="I325" s="18"/>
      <c r="J325" s="8">
        <f t="shared" si="11"/>
        <v>32000</v>
      </c>
      <c r="K325" s="27">
        <f t="shared" si="10"/>
        <v>1.1472275334608031E-2</v>
      </c>
      <c r="L325" s="18">
        <v>3</v>
      </c>
      <c r="M325" s="18"/>
      <c r="N325" s="18"/>
      <c r="O325" s="18">
        <v>41.6</v>
      </c>
      <c r="P325" s="18"/>
    </row>
    <row r="326" spans="1:16" x14ac:dyDescent="0.2">
      <c r="A326" s="23">
        <v>46077</v>
      </c>
      <c r="B326" s="18" t="s">
        <v>423</v>
      </c>
      <c r="C326" s="18" t="s">
        <v>33</v>
      </c>
      <c r="D326" s="18">
        <v>3743</v>
      </c>
      <c r="E326" s="18" t="s">
        <v>161</v>
      </c>
      <c r="F326" s="18">
        <v>794.8</v>
      </c>
      <c r="G326" s="18">
        <v>500</v>
      </c>
      <c r="H326" s="18">
        <v>76</v>
      </c>
      <c r="I326" s="18"/>
      <c r="J326" s="8">
        <f t="shared" si="11"/>
        <v>38000</v>
      </c>
      <c r="K326" s="27">
        <f t="shared" si="10"/>
        <v>9.9779897285399849E-3</v>
      </c>
      <c r="L326" s="18">
        <v>6.8</v>
      </c>
      <c r="M326" s="18">
        <v>13.8</v>
      </c>
      <c r="N326" s="18">
        <v>6.2</v>
      </c>
      <c r="O326" s="18">
        <v>113.3</v>
      </c>
      <c r="P326" s="18"/>
    </row>
    <row r="327" spans="1:16" x14ac:dyDescent="0.2">
      <c r="A327" s="23">
        <v>46078</v>
      </c>
      <c r="B327" s="18" t="s">
        <v>54</v>
      </c>
      <c r="C327" s="18" t="s">
        <v>15</v>
      </c>
      <c r="D327" s="18">
        <v>3831</v>
      </c>
      <c r="E327" s="18" t="s">
        <v>699</v>
      </c>
      <c r="F327" s="18">
        <v>162.19999999999999</v>
      </c>
      <c r="G327" s="18">
        <v>1000</v>
      </c>
      <c r="H327" s="18">
        <v>11</v>
      </c>
      <c r="I327" s="18">
        <v>800</v>
      </c>
      <c r="J327" s="8">
        <f t="shared" si="11"/>
        <v>11800</v>
      </c>
      <c r="K327" s="27">
        <f t="shared" si="10"/>
        <v>1.2330456226880395E-2</v>
      </c>
      <c r="L327" s="18">
        <v>2</v>
      </c>
      <c r="M327" s="18"/>
      <c r="N327" s="18"/>
      <c r="O327" s="18"/>
      <c r="P327" s="18"/>
    </row>
    <row r="328" spans="1:16" x14ac:dyDescent="0.2">
      <c r="A328" s="23">
        <v>46078</v>
      </c>
      <c r="B328" s="18" t="s">
        <v>54</v>
      </c>
      <c r="C328" s="18" t="s">
        <v>20</v>
      </c>
      <c r="D328" s="18">
        <v>3786</v>
      </c>
      <c r="E328" s="18" t="s">
        <v>695</v>
      </c>
      <c r="F328" s="18">
        <v>1332.9</v>
      </c>
      <c r="G328" s="18">
        <v>300</v>
      </c>
      <c r="H328" s="18">
        <v>126</v>
      </c>
      <c r="I328" s="18"/>
      <c r="J328" s="8">
        <f t="shared" si="11"/>
        <v>37800</v>
      </c>
      <c r="K328" s="27">
        <f t="shared" si="10"/>
        <v>2.2507314877335132E-2</v>
      </c>
      <c r="L328" s="18">
        <v>30</v>
      </c>
      <c r="M328" s="18"/>
      <c r="N328" s="18">
        <v>9.1</v>
      </c>
      <c r="O328" s="18"/>
      <c r="P328" s="18"/>
    </row>
    <row r="329" spans="1:16" x14ac:dyDescent="0.2">
      <c r="A329" s="23">
        <v>46078</v>
      </c>
      <c r="B329" s="18" t="s">
        <v>54</v>
      </c>
      <c r="C329" s="18" t="s">
        <v>33</v>
      </c>
      <c r="D329" s="18">
        <v>3743</v>
      </c>
      <c r="E329" s="18" t="s">
        <v>161</v>
      </c>
      <c r="F329" s="18">
        <v>67.400000000000006</v>
      </c>
      <c r="G329" s="18">
        <v>500</v>
      </c>
      <c r="H329" s="18">
        <v>7</v>
      </c>
      <c r="I329" s="18">
        <v>100</v>
      </c>
      <c r="J329" s="8">
        <f t="shared" si="11"/>
        <v>3600</v>
      </c>
      <c r="K329" s="27">
        <f t="shared" si="10"/>
        <v>2.0547945205479451E-2</v>
      </c>
      <c r="L329" s="18">
        <v>1.2</v>
      </c>
      <c r="M329" s="18"/>
      <c r="N329" s="18"/>
      <c r="O329" s="18">
        <v>9</v>
      </c>
      <c r="P329" s="18"/>
    </row>
    <row r="330" spans="1:16" x14ac:dyDescent="0.2">
      <c r="A330" s="23">
        <v>46078</v>
      </c>
      <c r="B330" s="18" t="s">
        <v>54</v>
      </c>
      <c r="C330" s="18" t="s">
        <v>24</v>
      </c>
      <c r="D330" s="18">
        <v>3755</v>
      </c>
      <c r="E330" s="18" t="s">
        <v>292</v>
      </c>
      <c r="F330" s="18">
        <v>215</v>
      </c>
      <c r="G330" s="18">
        <v>4200</v>
      </c>
      <c r="H330" s="18">
        <v>28</v>
      </c>
      <c r="I330" s="18"/>
      <c r="J330" s="8">
        <f t="shared" si="11"/>
        <v>117600</v>
      </c>
      <c r="K330" s="27">
        <f t="shared" si="10"/>
        <v>7.4418604651162795E-3</v>
      </c>
      <c r="L330" s="18">
        <v>1.6</v>
      </c>
      <c r="M330" s="18"/>
      <c r="N330" s="18"/>
      <c r="O330" s="18"/>
      <c r="P330" s="18"/>
    </row>
    <row r="331" spans="1:16" x14ac:dyDescent="0.2">
      <c r="A331" s="23">
        <v>46078</v>
      </c>
      <c r="B331" s="18" t="s">
        <v>54</v>
      </c>
      <c r="C331" s="18" t="s">
        <v>27</v>
      </c>
      <c r="D331" s="18">
        <v>3803</v>
      </c>
      <c r="E331" s="18" t="s">
        <v>702</v>
      </c>
      <c r="F331" s="18">
        <v>268.2</v>
      </c>
      <c r="G331" s="18">
        <v>1000</v>
      </c>
      <c r="H331" s="18">
        <v>57</v>
      </c>
      <c r="I331" s="18">
        <v>500</v>
      </c>
      <c r="J331" s="8">
        <f t="shared" si="11"/>
        <v>57500</v>
      </c>
      <c r="K331" s="27">
        <f t="shared" si="10"/>
        <v>1.6778523489932886E-2</v>
      </c>
      <c r="L331" s="18">
        <v>4.5</v>
      </c>
      <c r="M331" s="18"/>
      <c r="N331" s="18"/>
      <c r="O331" s="18"/>
      <c r="P331" s="18"/>
    </row>
    <row r="332" spans="1:16" x14ac:dyDescent="0.2">
      <c r="A332" s="23">
        <v>46078</v>
      </c>
      <c r="B332" s="18" t="s">
        <v>54</v>
      </c>
      <c r="C332" s="18" t="s">
        <v>33</v>
      </c>
      <c r="D332" s="18">
        <v>3790</v>
      </c>
      <c r="E332" s="18" t="s">
        <v>703</v>
      </c>
      <c r="F332" s="18">
        <v>175.4</v>
      </c>
      <c r="G332" s="18">
        <v>500</v>
      </c>
      <c r="H332" s="18">
        <v>12</v>
      </c>
      <c r="I332" s="18">
        <v>326</v>
      </c>
      <c r="J332" s="8">
        <f t="shared" si="11"/>
        <v>6326</v>
      </c>
      <c r="K332" s="27">
        <f t="shared" si="10"/>
        <v>5.3686934023285907E-2</v>
      </c>
      <c r="L332" s="18">
        <v>8.3000000000000007</v>
      </c>
      <c r="M332" s="18">
        <v>1.8</v>
      </c>
      <c r="N332" s="18"/>
      <c r="O332" s="18">
        <v>20.8</v>
      </c>
      <c r="P332" s="18"/>
    </row>
    <row r="333" spans="1:16" x14ac:dyDescent="0.2">
      <c r="A333" s="23">
        <v>46078</v>
      </c>
      <c r="B333" s="18" t="s">
        <v>54</v>
      </c>
      <c r="C333" s="18" t="s">
        <v>15</v>
      </c>
      <c r="D333" s="18">
        <v>3819</v>
      </c>
      <c r="E333" s="18" t="s">
        <v>346</v>
      </c>
      <c r="F333" s="18">
        <v>771.1</v>
      </c>
      <c r="G333" s="18">
        <v>125</v>
      </c>
      <c r="H333" s="18">
        <v>67</v>
      </c>
      <c r="I333" s="18"/>
      <c r="J333" s="8">
        <f t="shared" si="11"/>
        <v>8375</v>
      </c>
      <c r="K333" s="27">
        <f t="shared" si="10"/>
        <v>7.0029827519128521E-2</v>
      </c>
      <c r="L333" s="18">
        <v>54</v>
      </c>
      <c r="M333" s="18"/>
      <c r="N333" s="18"/>
      <c r="O333" s="18"/>
      <c r="P333" s="18"/>
    </row>
    <row r="334" spans="1:16" x14ac:dyDescent="0.2">
      <c r="A334" s="23">
        <v>46078</v>
      </c>
      <c r="B334" s="18" t="s">
        <v>54</v>
      </c>
      <c r="C334" s="18" t="s">
        <v>33</v>
      </c>
      <c r="D334" s="18">
        <v>3871</v>
      </c>
      <c r="E334" s="18" t="s">
        <v>634</v>
      </c>
      <c r="F334" s="18">
        <v>530</v>
      </c>
      <c r="G334" s="18">
        <v>1000</v>
      </c>
      <c r="H334" s="18">
        <v>82</v>
      </c>
      <c r="I334" s="18"/>
      <c r="J334" s="8">
        <f t="shared" si="11"/>
        <v>82000</v>
      </c>
      <c r="K334" s="27">
        <f t="shared" si="10"/>
        <v>1.7755231452124286E-2</v>
      </c>
      <c r="L334" s="18">
        <v>8.4</v>
      </c>
      <c r="M334" s="18"/>
      <c r="N334" s="18"/>
      <c r="O334" s="18">
        <v>56.9</v>
      </c>
      <c r="P334" s="18"/>
    </row>
    <row r="335" spans="1:16" x14ac:dyDescent="0.2">
      <c r="A335" s="23">
        <v>46078</v>
      </c>
      <c r="B335" s="18" t="s">
        <v>54</v>
      </c>
      <c r="C335" s="18" t="s">
        <v>15</v>
      </c>
      <c r="D335" s="18">
        <v>3821</v>
      </c>
      <c r="E335" s="18" t="s">
        <v>347</v>
      </c>
      <c r="F335" s="18">
        <v>302.3</v>
      </c>
      <c r="G335" s="18">
        <v>125</v>
      </c>
      <c r="H335" s="18">
        <v>28</v>
      </c>
      <c r="I335" s="18"/>
      <c r="J335" s="8">
        <f t="shared" si="11"/>
        <v>3500</v>
      </c>
      <c r="K335" s="27">
        <f t="shared" si="10"/>
        <v>8.2699305325835262E-2</v>
      </c>
      <c r="L335" s="18">
        <v>25</v>
      </c>
      <c r="M335" s="18"/>
      <c r="N335" s="18"/>
      <c r="O335" s="18"/>
      <c r="P335" s="18"/>
    </row>
    <row r="336" spans="1:16" x14ac:dyDescent="0.2">
      <c r="A336" s="23">
        <v>46078</v>
      </c>
      <c r="B336" s="18" t="s">
        <v>54</v>
      </c>
      <c r="C336" s="18" t="s">
        <v>27</v>
      </c>
      <c r="D336" s="18">
        <v>3805</v>
      </c>
      <c r="E336" s="18" t="s">
        <v>704</v>
      </c>
      <c r="F336" s="18">
        <v>33.299999999999997</v>
      </c>
      <c r="G336" s="18">
        <v>2000</v>
      </c>
      <c r="H336" s="18">
        <v>2</v>
      </c>
      <c r="I336" s="18"/>
      <c r="J336" s="8">
        <f t="shared" si="11"/>
        <v>4000</v>
      </c>
      <c r="K336" s="27">
        <f t="shared" si="10"/>
        <v>0</v>
      </c>
      <c r="L336" s="18"/>
      <c r="M336" s="18"/>
      <c r="N336" s="18"/>
      <c r="O336" s="18"/>
      <c r="P336" s="18"/>
    </row>
    <row r="337" spans="1:16" x14ac:dyDescent="0.2">
      <c r="A337" s="23">
        <v>46079</v>
      </c>
      <c r="B337" s="18" t="s">
        <v>423</v>
      </c>
      <c r="C337" s="18" t="s">
        <v>15</v>
      </c>
      <c r="D337" s="18">
        <v>3821</v>
      </c>
      <c r="E337" s="18" t="s">
        <v>347</v>
      </c>
      <c r="F337" s="18">
        <v>538.20000000000005</v>
      </c>
      <c r="G337" s="18">
        <v>125</v>
      </c>
      <c r="H337" s="18">
        <v>44</v>
      </c>
      <c r="I337" s="18"/>
      <c r="J337" s="8">
        <f t="shared" si="11"/>
        <v>5500</v>
      </c>
      <c r="K337" s="27">
        <f t="shared" si="10"/>
        <v>1.932367149758454E-2</v>
      </c>
      <c r="L337" s="18">
        <v>10.4</v>
      </c>
      <c r="M337" s="18"/>
      <c r="N337" s="18"/>
      <c r="O337" s="18"/>
      <c r="P337" s="18"/>
    </row>
    <row r="338" spans="1:16" x14ac:dyDescent="0.2">
      <c r="A338" s="23">
        <v>46079</v>
      </c>
      <c r="B338" s="18" t="s">
        <v>423</v>
      </c>
      <c r="C338" s="18" t="s">
        <v>15</v>
      </c>
      <c r="D338" s="18">
        <v>3819</v>
      </c>
      <c r="E338" s="18" t="s">
        <v>347</v>
      </c>
      <c r="F338" s="18">
        <v>53</v>
      </c>
      <c r="G338" s="18">
        <v>125</v>
      </c>
      <c r="H338" s="18">
        <v>5</v>
      </c>
      <c r="I338" s="18"/>
      <c r="J338" s="8">
        <f t="shared" si="11"/>
        <v>625</v>
      </c>
      <c r="K338" s="27">
        <f t="shared" si="10"/>
        <v>5.0943396226415097E-2</v>
      </c>
      <c r="L338" s="18">
        <v>2.7</v>
      </c>
      <c r="M338" s="18"/>
      <c r="N338" s="18"/>
      <c r="O338" s="18"/>
      <c r="P338" s="18"/>
    </row>
    <row r="339" spans="1:16" x14ac:dyDescent="0.2">
      <c r="A339" s="23">
        <v>46079</v>
      </c>
      <c r="B339" s="18" t="s">
        <v>423</v>
      </c>
      <c r="C339" s="18" t="s">
        <v>15</v>
      </c>
      <c r="D339" s="18">
        <v>3831</v>
      </c>
      <c r="E339" s="18" t="s">
        <v>699</v>
      </c>
      <c r="F339" s="18">
        <v>526</v>
      </c>
      <c r="G339" s="18">
        <v>1000</v>
      </c>
      <c r="H339" s="18">
        <v>42</v>
      </c>
      <c r="I339" s="18"/>
      <c r="J339" s="8">
        <f t="shared" si="11"/>
        <v>42000</v>
      </c>
      <c r="K339" s="27">
        <f t="shared" si="10"/>
        <v>1.0836501901140685E-2</v>
      </c>
      <c r="L339" s="18">
        <v>5.7</v>
      </c>
      <c r="M339" s="18"/>
      <c r="N339" s="18"/>
      <c r="O339" s="18"/>
      <c r="P339" s="18"/>
    </row>
    <row r="340" spans="1:16" x14ac:dyDescent="0.2">
      <c r="A340" s="23">
        <v>46079</v>
      </c>
      <c r="B340" s="18" t="s">
        <v>423</v>
      </c>
      <c r="C340" s="18" t="s">
        <v>20</v>
      </c>
      <c r="D340" s="18">
        <v>3786</v>
      </c>
      <c r="E340" s="18" t="s">
        <v>695</v>
      </c>
      <c r="F340" s="18">
        <v>174.8</v>
      </c>
      <c r="G340" s="18">
        <v>300</v>
      </c>
      <c r="H340" s="18">
        <v>17</v>
      </c>
      <c r="I340" s="18">
        <v>220</v>
      </c>
      <c r="J340" s="8">
        <f t="shared" si="11"/>
        <v>5320</v>
      </c>
      <c r="K340" s="27">
        <f t="shared" si="10"/>
        <v>1.1441647597254004E-2</v>
      </c>
      <c r="L340" s="18">
        <v>2</v>
      </c>
      <c r="M340" s="18"/>
      <c r="N340" s="18">
        <v>3</v>
      </c>
      <c r="O340" s="18"/>
      <c r="P340" s="18"/>
    </row>
    <row r="341" spans="1:16" x14ac:dyDescent="0.2">
      <c r="A341" s="23">
        <v>46079</v>
      </c>
      <c r="B341" s="18" t="s">
        <v>423</v>
      </c>
      <c r="C341" s="18" t="s">
        <v>20</v>
      </c>
      <c r="D341" s="18">
        <v>3398</v>
      </c>
      <c r="E341" s="18" t="s">
        <v>225</v>
      </c>
      <c r="F341" s="18">
        <v>26</v>
      </c>
      <c r="G341" s="18">
        <v>2000</v>
      </c>
      <c r="H341" s="18">
        <v>2</v>
      </c>
      <c r="I341" s="18"/>
      <c r="J341" s="8">
        <f t="shared" si="11"/>
        <v>4000</v>
      </c>
      <c r="K341" s="27">
        <f>IFERROR(L341/(F341-O341)*100%,0)</f>
        <v>2.6923076923076921E-2</v>
      </c>
      <c r="L341" s="18">
        <v>0.7</v>
      </c>
      <c r="M341" s="18"/>
      <c r="N341" s="18"/>
      <c r="O341" s="18"/>
      <c r="P341" s="18"/>
    </row>
    <row r="342" spans="1:16" x14ac:dyDescent="0.2">
      <c r="A342" s="23">
        <v>46079</v>
      </c>
      <c r="B342" s="18" t="s">
        <v>423</v>
      </c>
      <c r="C342" s="18" t="s">
        <v>20</v>
      </c>
      <c r="D342" s="18">
        <v>3876</v>
      </c>
      <c r="E342" s="18" t="s">
        <v>266</v>
      </c>
      <c r="F342" s="18">
        <v>276</v>
      </c>
      <c r="G342" s="18">
        <v>800</v>
      </c>
      <c r="H342" s="18">
        <v>23</v>
      </c>
      <c r="I342" s="18">
        <v>500</v>
      </c>
      <c r="J342" s="8">
        <f t="shared" si="11"/>
        <v>18900</v>
      </c>
      <c r="K342" s="27">
        <f t="shared" si="10"/>
        <v>2.8985507246376812E-3</v>
      </c>
      <c r="L342" s="18">
        <v>0.8</v>
      </c>
      <c r="M342" s="18"/>
      <c r="N342" s="18"/>
      <c r="O342" s="18"/>
      <c r="P342" s="18" t="s">
        <v>705</v>
      </c>
    </row>
    <row r="343" spans="1:16" x14ac:dyDescent="0.2">
      <c r="A343" s="23">
        <v>46079</v>
      </c>
      <c r="B343" s="18" t="s">
        <v>423</v>
      </c>
      <c r="C343" s="18" t="s">
        <v>20</v>
      </c>
      <c r="D343" s="18">
        <v>3938</v>
      </c>
      <c r="E343" s="18" t="s">
        <v>128</v>
      </c>
      <c r="F343" s="18">
        <v>485.9</v>
      </c>
      <c r="G343" s="18">
        <v>1000</v>
      </c>
      <c r="H343" s="18">
        <v>63</v>
      </c>
      <c r="I343" s="18"/>
      <c r="J343" s="8">
        <f t="shared" si="11"/>
        <v>63000</v>
      </c>
      <c r="K343" s="27">
        <f>IFERROR(L343/(F343-O343)*100%,0)</f>
        <v>5.1450915826301707E-3</v>
      </c>
      <c r="L343" s="18">
        <v>2.5</v>
      </c>
      <c r="M343" s="18"/>
      <c r="N343" s="18"/>
      <c r="O343" s="18"/>
      <c r="P343" s="18"/>
    </row>
    <row r="344" spans="1:16" x14ac:dyDescent="0.2">
      <c r="A344" s="23">
        <v>46079</v>
      </c>
      <c r="B344" s="18" t="s">
        <v>423</v>
      </c>
      <c r="C344" s="18" t="s">
        <v>24</v>
      </c>
      <c r="D344" s="18">
        <v>3755</v>
      </c>
      <c r="E344" s="18" t="s">
        <v>292</v>
      </c>
      <c r="F344" s="18">
        <v>223.7</v>
      </c>
      <c r="G344" s="18">
        <v>4200</v>
      </c>
      <c r="H344" s="18">
        <v>28</v>
      </c>
      <c r="I344" s="18"/>
      <c r="J344" s="8">
        <f t="shared" si="11"/>
        <v>117600</v>
      </c>
      <c r="K344" s="27">
        <f t="shared" si="10"/>
        <v>9.3875726419311578E-3</v>
      </c>
      <c r="L344" s="18">
        <v>2.1</v>
      </c>
      <c r="M344" s="18"/>
      <c r="N344" s="18"/>
      <c r="O344" s="18"/>
      <c r="P344" s="18"/>
    </row>
    <row r="345" spans="1:16" x14ac:dyDescent="0.2">
      <c r="A345" s="23">
        <v>46079</v>
      </c>
      <c r="B345" s="18" t="s">
        <v>423</v>
      </c>
      <c r="C345" s="18" t="s">
        <v>24</v>
      </c>
      <c r="D345" s="18">
        <v>3988</v>
      </c>
      <c r="E345" s="18" t="s">
        <v>706</v>
      </c>
      <c r="F345" s="18"/>
      <c r="G345" s="18">
        <v>1000</v>
      </c>
      <c r="H345" s="18">
        <v>5</v>
      </c>
      <c r="I345" s="18"/>
      <c r="J345" s="8">
        <f t="shared" si="11"/>
        <v>5000</v>
      </c>
      <c r="K345" s="27">
        <f t="shared" si="10"/>
        <v>0</v>
      </c>
      <c r="L345" s="18">
        <v>2.2000000000000002</v>
      </c>
      <c r="M345" s="18"/>
      <c r="N345" s="18"/>
      <c r="O345" s="18"/>
      <c r="P345" s="18"/>
    </row>
    <row r="346" spans="1:16" x14ac:dyDescent="0.2">
      <c r="A346" s="23">
        <v>46079</v>
      </c>
      <c r="B346" s="18" t="s">
        <v>423</v>
      </c>
      <c r="C346" s="18" t="s">
        <v>27</v>
      </c>
      <c r="D346" s="18">
        <v>3805</v>
      </c>
      <c r="E346" s="18" t="s">
        <v>704</v>
      </c>
      <c r="F346" s="18">
        <v>185.2</v>
      </c>
      <c r="G346" s="18">
        <v>2000</v>
      </c>
      <c r="H346" s="18">
        <v>31</v>
      </c>
      <c r="I346" s="18"/>
      <c r="J346" s="8">
        <f t="shared" si="11"/>
        <v>62000</v>
      </c>
      <c r="K346" s="27">
        <f t="shared" si="10"/>
        <v>1.5658747300215985E-2</v>
      </c>
      <c r="L346" s="18">
        <v>2.9</v>
      </c>
      <c r="M346" s="18"/>
      <c r="N346" s="18"/>
      <c r="O346" s="18"/>
      <c r="P346" s="18"/>
    </row>
    <row r="347" spans="1:16" x14ac:dyDescent="0.2">
      <c r="A347" s="23">
        <v>46079</v>
      </c>
      <c r="B347" s="18" t="s">
        <v>423</v>
      </c>
      <c r="C347" s="18" t="s">
        <v>27</v>
      </c>
      <c r="D347" s="18">
        <v>3692</v>
      </c>
      <c r="E347" s="18" t="s">
        <v>174</v>
      </c>
      <c r="F347" s="18">
        <v>92</v>
      </c>
      <c r="G347" s="18">
        <v>250</v>
      </c>
      <c r="H347" s="18">
        <v>9</v>
      </c>
      <c r="I347" s="18"/>
      <c r="J347" s="8">
        <f t="shared" si="11"/>
        <v>2250</v>
      </c>
      <c r="K347" s="27">
        <f t="shared" si="10"/>
        <v>0.11037527593818985</v>
      </c>
      <c r="L347" s="18">
        <v>10</v>
      </c>
      <c r="M347" s="18">
        <v>2.1</v>
      </c>
      <c r="N347" s="18"/>
      <c r="O347" s="18">
        <v>1.4</v>
      </c>
      <c r="P347" s="18"/>
    </row>
    <row r="348" spans="1:16" x14ac:dyDescent="0.2">
      <c r="A348" s="23">
        <v>46079</v>
      </c>
      <c r="B348" s="18" t="s">
        <v>423</v>
      </c>
      <c r="C348" s="18" t="s">
        <v>33</v>
      </c>
      <c r="D348" s="18">
        <v>3871</v>
      </c>
      <c r="E348" s="18" t="s">
        <v>634</v>
      </c>
      <c r="F348" s="18">
        <v>261.8</v>
      </c>
      <c r="G348" s="18">
        <v>1000</v>
      </c>
      <c r="H348" s="18">
        <v>44</v>
      </c>
      <c r="I348" s="18">
        <v>350</v>
      </c>
      <c r="J348" s="8">
        <f t="shared" si="11"/>
        <v>44350</v>
      </c>
      <c r="K348" s="27">
        <f t="shared" si="10"/>
        <v>1.1673151750972763E-2</v>
      </c>
      <c r="L348" s="18">
        <v>2.7</v>
      </c>
      <c r="M348" s="18">
        <v>3.7</v>
      </c>
      <c r="N348" s="18"/>
      <c r="O348" s="18">
        <v>30.5</v>
      </c>
      <c r="P348" s="18"/>
    </row>
    <row r="349" spans="1:16" x14ac:dyDescent="0.2">
      <c r="A349" s="23">
        <v>46079</v>
      </c>
      <c r="B349" s="18" t="s">
        <v>423</v>
      </c>
      <c r="C349" s="18" t="s">
        <v>33</v>
      </c>
      <c r="D349" s="18">
        <v>3763</v>
      </c>
      <c r="E349" s="18" t="s">
        <v>707</v>
      </c>
      <c r="F349" s="18">
        <v>300.60000000000002</v>
      </c>
      <c r="G349" s="18">
        <v>500</v>
      </c>
      <c r="H349" s="18">
        <v>32</v>
      </c>
      <c r="I349" s="18"/>
      <c r="J349" s="8">
        <f t="shared" si="11"/>
        <v>16000</v>
      </c>
      <c r="K349" s="27">
        <f t="shared" si="10"/>
        <v>1.2116622491480499E-2</v>
      </c>
      <c r="L349" s="18">
        <v>3.2</v>
      </c>
      <c r="M349" s="18">
        <v>5</v>
      </c>
      <c r="N349" s="18"/>
      <c r="O349" s="18">
        <v>36.5</v>
      </c>
      <c r="P349" s="18"/>
    </row>
    <row r="350" spans="1:16" x14ac:dyDescent="0.2">
      <c r="A350" s="23">
        <v>46079</v>
      </c>
      <c r="B350" s="18" t="s">
        <v>423</v>
      </c>
      <c r="C350" s="18" t="s">
        <v>33</v>
      </c>
      <c r="D350" s="18">
        <v>3707</v>
      </c>
      <c r="E350" s="18" t="s">
        <v>512</v>
      </c>
      <c r="F350" s="18">
        <v>129.6</v>
      </c>
      <c r="G350" s="18">
        <v>500</v>
      </c>
      <c r="H350" s="18">
        <v>12</v>
      </c>
      <c r="I350" s="18"/>
      <c r="J350" s="8">
        <f t="shared" si="11"/>
        <v>6000</v>
      </c>
      <c r="K350" s="27">
        <f t="shared" si="10"/>
        <v>2.5839793281653749E-2</v>
      </c>
      <c r="L350" s="18">
        <v>3</v>
      </c>
      <c r="M350" s="18">
        <v>4</v>
      </c>
      <c r="N350" s="18"/>
      <c r="O350" s="18">
        <v>13.5</v>
      </c>
      <c r="P350" s="18"/>
    </row>
    <row r="351" spans="1:16" x14ac:dyDescent="0.2">
      <c r="A351" s="23">
        <v>46080</v>
      </c>
      <c r="B351" s="18" t="s">
        <v>708</v>
      </c>
      <c r="C351" s="18" t="s">
        <v>15</v>
      </c>
      <c r="D351" s="18">
        <v>3831</v>
      </c>
      <c r="E351" s="18" t="s">
        <v>699</v>
      </c>
      <c r="F351" s="18">
        <v>1062</v>
      </c>
      <c r="G351" s="18">
        <v>1000</v>
      </c>
      <c r="H351" s="18">
        <v>96</v>
      </c>
      <c r="I351" s="18"/>
      <c r="J351" s="8">
        <f t="shared" si="11"/>
        <v>96000</v>
      </c>
      <c r="K351" s="27">
        <f t="shared" si="10"/>
        <v>1.4124293785310734E-3</v>
      </c>
      <c r="L351" s="18">
        <v>1.5</v>
      </c>
      <c r="M351" s="18"/>
      <c r="N351" s="18"/>
      <c r="O351" s="18"/>
      <c r="P351" s="18"/>
    </row>
    <row r="352" spans="1:16" x14ac:dyDescent="0.2">
      <c r="A352" s="23">
        <v>46080</v>
      </c>
      <c r="B352" s="18" t="s">
        <v>708</v>
      </c>
      <c r="C352" s="18" t="s">
        <v>20</v>
      </c>
      <c r="D352" s="18">
        <v>3938</v>
      </c>
      <c r="E352" s="18" t="s">
        <v>128</v>
      </c>
      <c r="F352" s="18">
        <v>304.3</v>
      </c>
      <c r="G352" s="18">
        <v>1000</v>
      </c>
      <c r="H352" s="18">
        <v>39</v>
      </c>
      <c r="I352" s="18"/>
      <c r="J352" s="8">
        <f t="shared" si="11"/>
        <v>39000</v>
      </c>
      <c r="K352" s="27">
        <f t="shared" si="10"/>
        <v>3.2862306933946761E-3</v>
      </c>
      <c r="L352" s="18">
        <v>1</v>
      </c>
      <c r="M352" s="18"/>
      <c r="N352" s="18"/>
      <c r="O352" s="18"/>
      <c r="P352" s="18"/>
    </row>
    <row r="353" spans="1:16" x14ac:dyDescent="0.2">
      <c r="A353" s="23">
        <v>46080</v>
      </c>
      <c r="B353" s="18" t="s">
        <v>708</v>
      </c>
      <c r="C353" s="18" t="s">
        <v>20</v>
      </c>
      <c r="D353" s="18">
        <v>3654</v>
      </c>
      <c r="E353" s="18" t="s">
        <v>709</v>
      </c>
      <c r="F353" s="18">
        <v>153</v>
      </c>
      <c r="G353" s="18">
        <v>1300</v>
      </c>
      <c r="H353" s="18">
        <v>13</v>
      </c>
      <c r="I353" s="18">
        <v>970</v>
      </c>
      <c r="J353" s="8">
        <f t="shared" si="11"/>
        <v>17870</v>
      </c>
      <c r="K353" s="27">
        <f t="shared" si="10"/>
        <v>3.9215686274509803E-3</v>
      </c>
      <c r="L353" s="18">
        <v>0.6</v>
      </c>
      <c r="M353" s="18"/>
      <c r="N353" s="18"/>
      <c r="O353" s="18"/>
      <c r="P353" s="18"/>
    </row>
    <row r="354" spans="1:16" x14ac:dyDescent="0.2">
      <c r="A354" s="23">
        <v>46080</v>
      </c>
      <c r="B354" s="18" t="s">
        <v>708</v>
      </c>
      <c r="C354" s="18" t="s">
        <v>20</v>
      </c>
      <c r="D354" s="18">
        <v>3658</v>
      </c>
      <c r="E354" s="18" t="s">
        <v>582</v>
      </c>
      <c r="F354" s="18">
        <v>143.9</v>
      </c>
      <c r="G354" s="18">
        <v>1200</v>
      </c>
      <c r="H354" s="18">
        <v>13</v>
      </c>
      <c r="I354" s="18">
        <v>300</v>
      </c>
      <c r="J354" s="8">
        <f t="shared" si="11"/>
        <v>15900</v>
      </c>
      <c r="K354" s="27">
        <f t="shared" si="10"/>
        <v>9.7289784572619862E-3</v>
      </c>
      <c r="L354" s="18">
        <v>1.4</v>
      </c>
      <c r="M354" s="18"/>
      <c r="N354" s="18"/>
      <c r="O354" s="18"/>
      <c r="P354" s="18"/>
    </row>
    <row r="355" spans="1:16" x14ac:dyDescent="0.2">
      <c r="A355" s="23">
        <v>46080</v>
      </c>
      <c r="B355" s="18" t="s">
        <v>708</v>
      </c>
      <c r="C355" s="18" t="s">
        <v>20</v>
      </c>
      <c r="D355" s="18">
        <v>3398</v>
      </c>
      <c r="E355" s="18" t="s">
        <v>225</v>
      </c>
      <c r="F355" s="18">
        <v>27</v>
      </c>
      <c r="G355" s="18">
        <v>2000</v>
      </c>
      <c r="H355" s="18">
        <v>2</v>
      </c>
      <c r="I355" s="18"/>
      <c r="J355" s="8">
        <f t="shared" si="11"/>
        <v>4000</v>
      </c>
      <c r="K355" s="27">
        <f t="shared" si="10"/>
        <v>4.0740740740740744E-2</v>
      </c>
      <c r="L355" s="18">
        <v>1.1000000000000001</v>
      </c>
      <c r="M355" s="18"/>
      <c r="N355" s="18"/>
      <c r="O355" s="18"/>
      <c r="P355" s="18"/>
    </row>
    <row r="356" spans="1:16" x14ac:dyDescent="0.2">
      <c r="A356" s="23">
        <v>46080</v>
      </c>
      <c r="B356" s="18" t="s">
        <v>708</v>
      </c>
      <c r="C356" s="18" t="s">
        <v>24</v>
      </c>
      <c r="D356" s="18">
        <v>3755</v>
      </c>
      <c r="E356" s="18" t="s">
        <v>292</v>
      </c>
      <c r="F356" s="18">
        <v>44.9</v>
      </c>
      <c r="G356" s="18">
        <v>4200</v>
      </c>
      <c r="H356" s="18">
        <v>8</v>
      </c>
      <c r="I356" s="18">
        <v>3000</v>
      </c>
      <c r="J356" s="8">
        <f t="shared" si="11"/>
        <v>36600</v>
      </c>
      <c r="K356" s="27">
        <f t="shared" ref="K356:K368" si="12">IFERROR(L356/(F356-O356)*100%,0)</f>
        <v>0</v>
      </c>
      <c r="L356" s="18"/>
      <c r="M356" s="18"/>
      <c r="N356" s="18"/>
      <c r="O356" s="18"/>
      <c r="P356" s="18"/>
    </row>
    <row r="357" spans="1:16" x14ac:dyDescent="0.2">
      <c r="A357" s="23">
        <v>46080</v>
      </c>
      <c r="B357" s="18" t="s">
        <v>708</v>
      </c>
      <c r="C357" s="18" t="s">
        <v>24</v>
      </c>
      <c r="D357" s="18">
        <v>3866</v>
      </c>
      <c r="E357" s="18" t="s">
        <v>710</v>
      </c>
      <c r="F357" s="18">
        <v>152.19999999999999</v>
      </c>
      <c r="G357" s="18">
        <v>4000</v>
      </c>
      <c r="H357" s="18">
        <v>16</v>
      </c>
      <c r="I357" s="18"/>
      <c r="J357" s="8">
        <f t="shared" si="11"/>
        <v>64000</v>
      </c>
      <c r="K357" s="27">
        <f t="shared" si="12"/>
        <v>1.9710906701708281E-3</v>
      </c>
      <c r="L357" s="18">
        <v>0.3</v>
      </c>
      <c r="M357" s="18"/>
      <c r="N357" s="18"/>
      <c r="O357" s="18"/>
      <c r="P357" s="18"/>
    </row>
    <row r="358" spans="1:16" x14ac:dyDescent="0.2">
      <c r="A358" s="23">
        <v>46080</v>
      </c>
      <c r="B358" s="18" t="s">
        <v>708</v>
      </c>
      <c r="C358" s="18" t="s">
        <v>27</v>
      </c>
      <c r="D358" s="18">
        <v>3692</v>
      </c>
      <c r="E358" s="18" t="s">
        <v>174</v>
      </c>
      <c r="F358" s="18">
        <v>782.9</v>
      </c>
      <c r="G358" s="18">
        <v>250</v>
      </c>
      <c r="H358" s="18">
        <v>92</v>
      </c>
      <c r="I358" s="18"/>
      <c r="J358" s="8">
        <f t="shared" si="11"/>
        <v>23000</v>
      </c>
      <c r="K358" s="27">
        <f t="shared" si="12"/>
        <v>1.8694015318707E-2</v>
      </c>
      <c r="L358" s="18">
        <v>14.4</v>
      </c>
      <c r="M358" s="18">
        <v>32</v>
      </c>
      <c r="N358" s="18"/>
      <c r="O358" s="18">
        <v>12.6</v>
      </c>
      <c r="P358" s="18"/>
    </row>
    <row r="359" spans="1:16" x14ac:dyDescent="0.2">
      <c r="A359" s="23">
        <v>46080</v>
      </c>
      <c r="B359" s="18" t="s">
        <v>708</v>
      </c>
      <c r="C359" s="18" t="s">
        <v>33</v>
      </c>
      <c r="D359" s="18">
        <v>3807</v>
      </c>
      <c r="E359" s="18" t="s">
        <v>518</v>
      </c>
      <c r="F359" s="18">
        <v>37.5</v>
      </c>
      <c r="G359" s="18">
        <v>500</v>
      </c>
      <c r="H359" s="18">
        <v>5</v>
      </c>
      <c r="I359" s="18">
        <v>123</v>
      </c>
      <c r="J359" s="8">
        <f t="shared" si="11"/>
        <v>2623</v>
      </c>
      <c r="K359" s="27">
        <f t="shared" si="12"/>
        <v>0</v>
      </c>
      <c r="L359" s="18"/>
      <c r="M359" s="18">
        <v>3</v>
      </c>
      <c r="N359" s="18"/>
      <c r="O359" s="18">
        <v>5.9</v>
      </c>
      <c r="P359" s="18"/>
    </row>
    <row r="360" spans="1:16" x14ac:dyDescent="0.2">
      <c r="A360" s="23">
        <v>46080</v>
      </c>
      <c r="B360" s="18" t="s">
        <v>708</v>
      </c>
      <c r="C360" s="18" t="s">
        <v>33</v>
      </c>
      <c r="D360" s="18">
        <v>3708</v>
      </c>
      <c r="E360" s="18" t="s">
        <v>711</v>
      </c>
      <c r="F360" s="18">
        <v>197.7</v>
      </c>
      <c r="G360" s="18">
        <v>500</v>
      </c>
      <c r="H360" s="18">
        <v>16</v>
      </c>
      <c r="I360" s="18">
        <v>279</v>
      </c>
      <c r="J360" s="8">
        <f t="shared" si="11"/>
        <v>8279</v>
      </c>
      <c r="K360" s="27">
        <f t="shared" si="12"/>
        <v>9.8894706224549166E-3</v>
      </c>
      <c r="L360" s="18">
        <v>1.7</v>
      </c>
      <c r="M360" s="18">
        <v>3.7</v>
      </c>
      <c r="N360" s="18"/>
      <c r="O360" s="18">
        <v>25.8</v>
      </c>
      <c r="P360" s="18"/>
    </row>
    <row r="361" spans="1:16" x14ac:dyDescent="0.2">
      <c r="A361" s="23">
        <v>46080</v>
      </c>
      <c r="B361" s="18" t="s">
        <v>708</v>
      </c>
      <c r="C361" s="18" t="s">
        <v>33</v>
      </c>
      <c r="D361" s="18">
        <v>3842</v>
      </c>
      <c r="E361" s="18" t="s">
        <v>103</v>
      </c>
      <c r="F361" s="18">
        <v>451</v>
      </c>
      <c r="G361" s="18">
        <v>500</v>
      </c>
      <c r="H361" s="18">
        <v>47</v>
      </c>
      <c r="I361" s="18">
        <v>300</v>
      </c>
      <c r="J361" s="8">
        <f t="shared" si="11"/>
        <v>23800</v>
      </c>
      <c r="K361" s="27">
        <f t="shared" si="12"/>
        <v>6.7771084337349408E-3</v>
      </c>
      <c r="L361" s="18">
        <v>2.7</v>
      </c>
      <c r="M361" s="18"/>
      <c r="N361" s="18"/>
      <c r="O361" s="18">
        <v>52.6</v>
      </c>
      <c r="P361" s="18"/>
    </row>
    <row r="362" spans="1:16" x14ac:dyDescent="0.2">
      <c r="A362" s="23">
        <v>46080</v>
      </c>
      <c r="B362" s="18" t="s">
        <v>708</v>
      </c>
      <c r="C362" s="18" t="s">
        <v>33</v>
      </c>
      <c r="D362" s="18">
        <v>3843</v>
      </c>
      <c r="E362" s="18" t="s">
        <v>712</v>
      </c>
      <c r="F362" s="18">
        <v>280.8</v>
      </c>
      <c r="G362" s="18">
        <v>500</v>
      </c>
      <c r="H362" s="18">
        <v>18</v>
      </c>
      <c r="I362" s="18">
        <v>300</v>
      </c>
      <c r="J362" s="8">
        <f t="shared" si="11"/>
        <v>9300</v>
      </c>
      <c r="K362" s="27">
        <f t="shared" si="12"/>
        <v>8.1201786439301666E-3</v>
      </c>
      <c r="L362" s="18">
        <v>2</v>
      </c>
      <c r="M362" s="18"/>
      <c r="N362" s="18">
        <v>1</v>
      </c>
      <c r="O362" s="18">
        <v>34.5</v>
      </c>
      <c r="P362" s="18"/>
    </row>
    <row r="363" spans="1:16" x14ac:dyDescent="0.2">
      <c r="A363" s="23">
        <v>46081</v>
      </c>
      <c r="B363" s="18" t="s">
        <v>54</v>
      </c>
      <c r="C363" s="18" t="s">
        <v>15</v>
      </c>
      <c r="D363" s="18">
        <v>3831</v>
      </c>
      <c r="E363" s="18" t="s">
        <v>699</v>
      </c>
      <c r="F363" s="18">
        <v>584.6</v>
      </c>
      <c r="G363" s="18">
        <v>1000</v>
      </c>
      <c r="H363" s="18">
        <v>50</v>
      </c>
      <c r="I363" s="18">
        <v>400</v>
      </c>
      <c r="J363" s="8">
        <f t="shared" si="11"/>
        <v>50400</v>
      </c>
      <c r="K363" s="27">
        <f t="shared" si="12"/>
        <v>1.4881970578173108E-2</v>
      </c>
      <c r="L363" s="18">
        <v>8.6999999999999993</v>
      </c>
      <c r="M363" s="18"/>
      <c r="N363" s="18"/>
      <c r="O363" s="18"/>
      <c r="P363" s="18"/>
    </row>
    <row r="364" spans="1:16" x14ac:dyDescent="0.2">
      <c r="A364" s="23">
        <v>46081</v>
      </c>
      <c r="B364" s="18" t="s">
        <v>54</v>
      </c>
      <c r="C364" s="18" t="s">
        <v>20</v>
      </c>
      <c r="D364" s="18">
        <v>3398</v>
      </c>
      <c r="E364" s="18" t="s">
        <v>225</v>
      </c>
      <c r="F364" s="18">
        <v>181.1</v>
      </c>
      <c r="G364" s="18">
        <v>2000</v>
      </c>
      <c r="H364" s="18">
        <v>18</v>
      </c>
      <c r="I364" s="18"/>
      <c r="J364" s="8">
        <f t="shared" si="11"/>
        <v>36000</v>
      </c>
      <c r="K364" s="27">
        <f t="shared" si="12"/>
        <v>2.7056874654886806E-2</v>
      </c>
      <c r="L364" s="18">
        <v>4.9000000000000004</v>
      </c>
      <c r="M364" s="18">
        <v>7</v>
      </c>
      <c r="N364" s="18"/>
      <c r="O364" s="18"/>
      <c r="P364" s="18"/>
    </row>
    <row r="365" spans="1:16" x14ac:dyDescent="0.2">
      <c r="A365" s="23">
        <v>46081</v>
      </c>
      <c r="B365" s="18" t="s">
        <v>54</v>
      </c>
      <c r="C365" s="18" t="s">
        <v>24</v>
      </c>
      <c r="D365" s="18">
        <v>3866</v>
      </c>
      <c r="E365" s="18" t="s">
        <v>710</v>
      </c>
      <c r="F365" s="18">
        <v>88.7</v>
      </c>
      <c r="G365" s="18">
        <v>4000</v>
      </c>
      <c r="H365" s="18">
        <v>18</v>
      </c>
      <c r="I365" s="18"/>
      <c r="J365" s="8">
        <f t="shared" si="11"/>
        <v>72000</v>
      </c>
      <c r="K365" s="27">
        <f t="shared" si="12"/>
        <v>1.3528748590755355E-2</v>
      </c>
      <c r="L365" s="18">
        <v>1.2</v>
      </c>
      <c r="M365" s="18"/>
      <c r="N365" s="18"/>
      <c r="O365" s="18"/>
      <c r="P365" s="18"/>
    </row>
    <row r="366" spans="1:16" x14ac:dyDescent="0.2">
      <c r="A366" s="23">
        <v>46081</v>
      </c>
      <c r="B366" s="18" t="s">
        <v>54</v>
      </c>
      <c r="C366" s="18" t="s">
        <v>27</v>
      </c>
      <c r="D366" s="18">
        <v>3692</v>
      </c>
      <c r="E366" s="18" t="s">
        <v>174</v>
      </c>
      <c r="F366" s="18">
        <v>1072.5999999999999</v>
      </c>
      <c r="G366" s="18">
        <v>250</v>
      </c>
      <c r="H366" s="18">
        <v>137</v>
      </c>
      <c r="I366" s="18"/>
      <c r="J366" s="8">
        <f t="shared" si="11"/>
        <v>34250</v>
      </c>
      <c r="K366" s="27">
        <f t="shared" si="12"/>
        <v>2.2481502561183839E-2</v>
      </c>
      <c r="L366" s="18">
        <v>23.7</v>
      </c>
      <c r="M366" s="18">
        <v>19.7</v>
      </c>
      <c r="N366" s="18"/>
      <c r="O366" s="18">
        <v>18.399999999999999</v>
      </c>
      <c r="P366" s="18"/>
    </row>
    <row r="367" spans="1:16" x14ac:dyDescent="0.2">
      <c r="A367" s="23">
        <v>46081</v>
      </c>
      <c r="B367" s="18" t="s">
        <v>54</v>
      </c>
      <c r="C367" s="18" t="s">
        <v>33</v>
      </c>
      <c r="D367" s="18">
        <v>3818</v>
      </c>
      <c r="E367" s="18" t="s">
        <v>713</v>
      </c>
      <c r="F367" s="18">
        <v>1792.2</v>
      </c>
      <c r="G367" s="18">
        <v>500</v>
      </c>
      <c r="H367" s="18">
        <v>119</v>
      </c>
      <c r="I367" s="18">
        <v>200</v>
      </c>
      <c r="J367" s="8">
        <f t="shared" si="11"/>
        <v>59700</v>
      </c>
      <c r="K367" s="27">
        <f t="shared" si="12"/>
        <v>1.4892547442503455E-2</v>
      </c>
      <c r="L367" s="18">
        <v>23.7</v>
      </c>
      <c r="M367" s="18">
        <v>11.5</v>
      </c>
      <c r="N367" s="18"/>
      <c r="O367" s="18">
        <v>200.8</v>
      </c>
      <c r="P367" s="18"/>
    </row>
    <row r="368" spans="1:16" x14ac:dyDescent="0.2">
      <c r="A368" s="23">
        <v>46081</v>
      </c>
      <c r="B368" s="18" t="s">
        <v>54</v>
      </c>
      <c r="C368" s="18" t="s">
        <v>15</v>
      </c>
      <c r="D368" s="18">
        <v>3960</v>
      </c>
      <c r="E368" s="18" t="s">
        <v>385</v>
      </c>
      <c r="F368" s="18"/>
      <c r="G368" s="18">
        <v>4000</v>
      </c>
      <c r="H368" s="18">
        <v>12</v>
      </c>
      <c r="I368" s="18">
        <v>1800</v>
      </c>
      <c r="J368" s="8">
        <f t="shared" si="11"/>
        <v>49800</v>
      </c>
      <c r="K368" s="27">
        <f t="shared" si="12"/>
        <v>0</v>
      </c>
      <c r="L368" s="18">
        <v>4</v>
      </c>
      <c r="M368" s="18"/>
      <c r="N368" s="18"/>
      <c r="O368" s="18"/>
      <c r="P368" s="18"/>
    </row>
    <row r="369" spans="1:16" x14ac:dyDescent="0.2">
      <c r="A369" s="5"/>
      <c r="B369" s="5"/>
      <c r="C369" s="5"/>
      <c r="D369" s="5"/>
      <c r="E369" s="5"/>
      <c r="F369" s="5">
        <f t="shared" ref="F369" si="13">SUM(F2:F368)</f>
        <v>96740.399999999965</v>
      </c>
      <c r="G369" s="5"/>
      <c r="H369" s="5"/>
      <c r="I369" s="5"/>
      <c r="J369" s="5">
        <f>SUM(J2:J368)</f>
        <v>8937978</v>
      </c>
      <c r="K369" s="30">
        <f>L369/F369*100%</f>
        <v>1.2912909187888422E-2</v>
      </c>
      <c r="L369" s="5">
        <f t="shared" ref="L369" si="14">SUM(L2:L368)</f>
        <v>1249.2000000000007</v>
      </c>
      <c r="M369" s="5"/>
      <c r="N369" s="5"/>
      <c r="O369" s="5"/>
      <c r="P369" s="5"/>
    </row>
    <row r="371" spans="1:16" x14ac:dyDescent="0.2">
      <c r="B371" s="25" t="s">
        <v>14</v>
      </c>
      <c r="C371" s="25">
        <v>3305147</v>
      </c>
    </row>
    <row r="372" spans="1:16" x14ac:dyDescent="0.2">
      <c r="B372" s="25" t="s">
        <v>40</v>
      </c>
      <c r="C372" s="25">
        <v>2513690</v>
      </c>
    </row>
    <row r="373" spans="1:16" x14ac:dyDescent="0.2">
      <c r="B373" s="25" t="s">
        <v>54</v>
      </c>
      <c r="C373" s="25">
        <v>3119141</v>
      </c>
    </row>
  </sheetData>
  <autoFilter ref="A1:P369" xr:uid="{00000000-0001-0000-0000-000000000000}"/>
  <conditionalFormatting sqref="D2:D368">
    <cfRule type="duplicateValues" dxfId="9" priority="9"/>
  </conditionalFormatting>
  <conditionalFormatting sqref="D370:D4941">
    <cfRule type="duplicateValues" dxfId="8" priority="2"/>
  </conditionalFormatting>
  <conditionalFormatting sqref="K2:K368">
    <cfRule type="cellIs" dxfId="7" priority="1" operator="greaterThanOrEqual">
      <formula>5%</formula>
    </cfRule>
  </conditionalFormatting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C1E7-73B3-4CC3-8F98-4E53D84419CA}">
  <sheetPr>
    <pageSetUpPr fitToPage="1"/>
  </sheetPr>
  <dimension ref="A1:R432"/>
  <sheetViews>
    <sheetView workbookViewId="0">
      <pane ySplit="1" topLeftCell="A406" activePane="bottomLeft" state="frozen"/>
      <selection activeCell="B1" sqref="B1"/>
      <selection pane="bottomLeft" activeCell="H420" sqref="H420"/>
    </sheetView>
  </sheetViews>
  <sheetFormatPr baseColWidth="10" defaultColWidth="8.83203125" defaultRowHeight="15" x14ac:dyDescent="0.2"/>
  <cols>
    <col min="2" max="2" width="11.6640625" bestFit="1" customWidth="1"/>
    <col min="3" max="3" width="9.6640625" customWidth="1"/>
    <col min="4" max="4" width="14.5" bestFit="1" customWidth="1"/>
    <col min="5" max="5" width="20.5" bestFit="1" customWidth="1"/>
    <col min="6" max="6" width="10.33203125" customWidth="1"/>
    <col min="7" max="7" width="11.1640625" customWidth="1"/>
    <col min="8" max="8" width="14.83203125" customWidth="1"/>
    <col min="12" max="12" width="10.33203125" bestFit="1" customWidth="1"/>
    <col min="13" max="13" width="11.33203125" bestFit="1" customWidth="1"/>
    <col min="15" max="15" width="10.33203125" bestFit="1" customWidth="1"/>
    <col min="16" max="16" width="33.6640625" bestFit="1" customWidth="1"/>
  </cols>
  <sheetData>
    <row r="1" spans="1:16" ht="48" customHeight="1" x14ac:dyDescent="0.2">
      <c r="A1" s="32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391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392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ht="15" customHeight="1" x14ac:dyDescent="0.2">
      <c r="A2" s="4">
        <v>46082</v>
      </c>
      <c r="B2" s="1" t="s">
        <v>423</v>
      </c>
      <c r="C2" s="1" t="s">
        <v>15</v>
      </c>
      <c r="D2" s="1">
        <v>3838</v>
      </c>
      <c r="E2" s="1" t="s">
        <v>714</v>
      </c>
      <c r="F2" s="1">
        <v>210</v>
      </c>
      <c r="G2" s="1">
        <v>1000</v>
      </c>
      <c r="H2" s="1">
        <v>22</v>
      </c>
      <c r="I2" s="1"/>
      <c r="J2" s="8">
        <f>G2*H2+I2</f>
        <v>22000</v>
      </c>
      <c r="K2" s="27">
        <f t="shared" ref="K2:K35" si="0">IFERROR(L2/(F2-O2)*100%,0)</f>
        <v>8.0952380952380946E-3</v>
      </c>
      <c r="L2" s="1">
        <v>1.7</v>
      </c>
      <c r="M2" s="1"/>
      <c r="N2" s="1"/>
      <c r="O2" s="1"/>
      <c r="P2" s="1"/>
    </row>
    <row r="3" spans="1:16" ht="15" customHeight="1" x14ac:dyDescent="0.2">
      <c r="A3" s="4">
        <v>46082</v>
      </c>
      <c r="B3" s="1" t="s">
        <v>423</v>
      </c>
      <c r="C3" s="1" t="s">
        <v>15</v>
      </c>
      <c r="D3" s="1">
        <v>3839</v>
      </c>
      <c r="E3" s="1" t="s">
        <v>715</v>
      </c>
      <c r="F3" s="1">
        <v>271.60000000000002</v>
      </c>
      <c r="G3" s="1">
        <v>1000</v>
      </c>
      <c r="H3" s="1">
        <v>26</v>
      </c>
      <c r="I3" s="1">
        <v>400</v>
      </c>
      <c r="J3" s="8">
        <f t="shared" ref="J3:J66" si="1">G3*H3+I3</f>
        <v>26400</v>
      </c>
      <c r="K3" s="27">
        <f t="shared" si="0"/>
        <v>5.5228276877761408E-3</v>
      </c>
      <c r="L3" s="1">
        <v>1.5</v>
      </c>
      <c r="M3" s="1"/>
      <c r="N3" s="1"/>
      <c r="O3" s="1"/>
      <c r="P3" s="1"/>
    </row>
    <row r="4" spans="1:16" ht="15" customHeight="1" x14ac:dyDescent="0.2">
      <c r="A4" s="4">
        <v>46082</v>
      </c>
      <c r="B4" s="1" t="s">
        <v>423</v>
      </c>
      <c r="C4" s="1" t="s">
        <v>15</v>
      </c>
      <c r="D4" s="1">
        <v>3844</v>
      </c>
      <c r="E4" s="1" t="s">
        <v>716</v>
      </c>
      <c r="F4" s="1">
        <v>149</v>
      </c>
      <c r="G4" s="1">
        <v>500</v>
      </c>
      <c r="H4" s="1">
        <v>10</v>
      </c>
      <c r="I4" s="1"/>
      <c r="J4" s="8">
        <f t="shared" si="1"/>
        <v>5000</v>
      </c>
      <c r="K4" s="27">
        <f t="shared" si="0"/>
        <v>1.5436241610738253E-2</v>
      </c>
      <c r="L4" s="1">
        <v>2.2999999999999998</v>
      </c>
      <c r="M4" s="1"/>
      <c r="N4" s="1"/>
      <c r="O4" s="1"/>
      <c r="P4" s="1"/>
    </row>
    <row r="5" spans="1:16" ht="15" customHeight="1" x14ac:dyDescent="0.2">
      <c r="A5" s="4">
        <v>46082</v>
      </c>
      <c r="B5" s="1" t="s">
        <v>423</v>
      </c>
      <c r="C5" s="1" t="s">
        <v>15</v>
      </c>
      <c r="D5" s="1">
        <v>3856</v>
      </c>
      <c r="E5" s="1" t="s">
        <v>717</v>
      </c>
      <c r="F5" s="1">
        <v>391</v>
      </c>
      <c r="G5" s="1">
        <v>125</v>
      </c>
      <c r="H5" s="1">
        <v>37</v>
      </c>
      <c r="I5" s="1"/>
      <c r="J5" s="8">
        <f t="shared" si="1"/>
        <v>4625</v>
      </c>
      <c r="K5" s="27">
        <f t="shared" si="0"/>
        <v>2.1994884910485932E-2</v>
      </c>
      <c r="L5" s="1">
        <v>8.6</v>
      </c>
      <c r="M5" s="1"/>
      <c r="N5" s="1">
        <v>48.7</v>
      </c>
      <c r="O5" s="1"/>
      <c r="P5" s="1"/>
    </row>
    <row r="6" spans="1:16" ht="15" customHeight="1" x14ac:dyDescent="0.2">
      <c r="A6" s="4">
        <v>46082</v>
      </c>
      <c r="B6" s="1" t="s">
        <v>423</v>
      </c>
      <c r="C6" s="1" t="s">
        <v>20</v>
      </c>
      <c r="D6" s="1">
        <v>3398</v>
      </c>
      <c r="E6" s="1" t="s">
        <v>225</v>
      </c>
      <c r="F6" s="1">
        <v>151</v>
      </c>
      <c r="G6" s="1">
        <v>2000</v>
      </c>
      <c r="H6" s="1">
        <v>14</v>
      </c>
      <c r="I6" s="1">
        <v>650</v>
      </c>
      <c r="J6" s="8">
        <f t="shared" si="1"/>
        <v>28650</v>
      </c>
      <c r="K6" s="27">
        <f t="shared" si="0"/>
        <v>1.9867549668874173E-2</v>
      </c>
      <c r="L6" s="1">
        <v>3</v>
      </c>
      <c r="M6" s="1">
        <v>1</v>
      </c>
      <c r="N6" s="1"/>
      <c r="O6" s="1"/>
      <c r="P6" s="1"/>
    </row>
    <row r="7" spans="1:16" ht="15" customHeight="1" x14ac:dyDescent="0.2">
      <c r="A7" s="4">
        <v>46082</v>
      </c>
      <c r="B7" s="1" t="s">
        <v>423</v>
      </c>
      <c r="C7" s="1" t="s">
        <v>20</v>
      </c>
      <c r="D7" s="1">
        <v>3817</v>
      </c>
      <c r="E7" s="1" t="s">
        <v>432</v>
      </c>
      <c r="F7" s="1">
        <v>302.8</v>
      </c>
      <c r="G7" s="1">
        <v>1000</v>
      </c>
      <c r="H7" s="1">
        <v>24</v>
      </c>
      <c r="I7" s="1"/>
      <c r="J7" s="8">
        <f t="shared" si="1"/>
        <v>24000</v>
      </c>
      <c r="K7" s="27">
        <f t="shared" si="0"/>
        <v>1.3210039630118889E-2</v>
      </c>
      <c r="L7" s="1">
        <v>4</v>
      </c>
      <c r="M7" s="1">
        <v>8.3000000000000007</v>
      </c>
      <c r="N7" s="1"/>
      <c r="O7" s="1"/>
      <c r="P7" s="1"/>
    </row>
    <row r="8" spans="1:16" ht="15" customHeight="1" x14ac:dyDescent="0.2">
      <c r="A8" s="4">
        <v>46082</v>
      </c>
      <c r="B8" s="1" t="s">
        <v>423</v>
      </c>
      <c r="C8" s="1" t="s">
        <v>24</v>
      </c>
      <c r="D8" s="1">
        <v>3866</v>
      </c>
      <c r="E8" s="1" t="s">
        <v>710</v>
      </c>
      <c r="F8" s="1">
        <v>55</v>
      </c>
      <c r="G8" s="1">
        <v>4000</v>
      </c>
      <c r="H8" s="1">
        <v>7</v>
      </c>
      <c r="I8" s="1"/>
      <c r="J8" s="8">
        <f t="shared" si="1"/>
        <v>28000</v>
      </c>
      <c r="K8" s="27">
        <f t="shared" si="0"/>
        <v>5.4545454545454541E-3</v>
      </c>
      <c r="L8" s="1">
        <v>0.3</v>
      </c>
      <c r="M8" s="1"/>
      <c r="N8" s="1"/>
      <c r="O8" s="1"/>
      <c r="P8" s="1"/>
    </row>
    <row r="9" spans="1:16" ht="15" customHeight="1" x14ac:dyDescent="0.2">
      <c r="A9" s="4">
        <v>46082</v>
      </c>
      <c r="B9" s="1" t="s">
        <v>423</v>
      </c>
      <c r="C9" s="1" t="s">
        <v>24</v>
      </c>
      <c r="D9" s="1">
        <v>3869</v>
      </c>
      <c r="E9" s="1" t="s">
        <v>458</v>
      </c>
      <c r="F9" s="1">
        <v>607</v>
      </c>
      <c r="G9" s="1">
        <v>200</v>
      </c>
      <c r="H9" s="1">
        <v>60</v>
      </c>
      <c r="I9" s="1"/>
      <c r="J9" s="8">
        <f t="shared" si="1"/>
        <v>12000</v>
      </c>
      <c r="K9" s="27">
        <f t="shared" si="0"/>
        <v>6.2602965403624382E-3</v>
      </c>
      <c r="L9" s="1">
        <v>3.8</v>
      </c>
      <c r="M9" s="1"/>
      <c r="N9" s="1"/>
      <c r="O9" s="1"/>
      <c r="P9" s="1"/>
    </row>
    <row r="10" spans="1:16" ht="15" customHeight="1" x14ac:dyDescent="0.2">
      <c r="A10" s="4">
        <v>46082</v>
      </c>
      <c r="B10" s="1" t="s">
        <v>423</v>
      </c>
      <c r="C10" s="1" t="s">
        <v>27</v>
      </c>
      <c r="D10" s="1">
        <v>3692</v>
      </c>
      <c r="E10" s="1" t="s">
        <v>174</v>
      </c>
      <c r="F10" s="1">
        <v>282.8</v>
      </c>
      <c r="G10" s="1">
        <v>250</v>
      </c>
      <c r="H10" s="1">
        <v>31</v>
      </c>
      <c r="I10" s="1">
        <v>50</v>
      </c>
      <c r="J10" s="8">
        <f t="shared" si="1"/>
        <v>7800</v>
      </c>
      <c r="K10" s="27">
        <f t="shared" si="0"/>
        <v>2.9549549549549546E-2</v>
      </c>
      <c r="L10" s="1">
        <v>8.1999999999999993</v>
      </c>
      <c r="M10" s="1">
        <v>10.199999999999999</v>
      </c>
      <c r="N10" s="1"/>
      <c r="O10" s="1">
        <v>5.3</v>
      </c>
      <c r="P10" s="1"/>
    </row>
    <row r="11" spans="1:16" ht="15" customHeight="1" x14ac:dyDescent="0.2">
      <c r="A11" s="4">
        <v>46082</v>
      </c>
      <c r="B11" s="1" t="s">
        <v>423</v>
      </c>
      <c r="C11" s="1" t="s">
        <v>27</v>
      </c>
      <c r="D11" s="1">
        <v>4003</v>
      </c>
      <c r="E11" s="1" t="s">
        <v>714</v>
      </c>
      <c r="F11" s="1">
        <v>57</v>
      </c>
      <c r="G11" s="1">
        <v>1000</v>
      </c>
      <c r="H11" s="1">
        <v>5</v>
      </c>
      <c r="I11" s="1"/>
      <c r="J11" s="8">
        <f t="shared" si="1"/>
        <v>5000</v>
      </c>
      <c r="K11" s="27">
        <f t="shared" si="0"/>
        <v>0</v>
      </c>
      <c r="L11" s="1"/>
      <c r="M11" s="1"/>
      <c r="N11" s="1"/>
      <c r="O11" s="1"/>
      <c r="P11" s="1"/>
    </row>
    <row r="12" spans="1:16" ht="15" customHeight="1" x14ac:dyDescent="0.2">
      <c r="A12" s="4">
        <v>46082</v>
      </c>
      <c r="B12" s="1" t="s">
        <v>423</v>
      </c>
      <c r="C12" s="1" t="s">
        <v>27</v>
      </c>
      <c r="D12" s="1">
        <v>4004</v>
      </c>
      <c r="E12" s="1" t="s">
        <v>715</v>
      </c>
      <c r="F12" s="1"/>
      <c r="G12" s="1">
        <v>1000</v>
      </c>
      <c r="H12" s="1">
        <v>3</v>
      </c>
      <c r="I12" s="1">
        <v>500</v>
      </c>
      <c r="J12" s="8">
        <f t="shared" si="1"/>
        <v>3500</v>
      </c>
      <c r="K12" s="27">
        <f t="shared" si="0"/>
        <v>0</v>
      </c>
      <c r="L12" s="1">
        <v>3.3</v>
      </c>
      <c r="M12" s="1"/>
      <c r="N12" s="1"/>
      <c r="O12" s="1"/>
      <c r="P12" s="1"/>
    </row>
    <row r="13" spans="1:16" ht="15" customHeight="1" x14ac:dyDescent="0.2">
      <c r="A13" s="4">
        <v>46082</v>
      </c>
      <c r="B13" s="1" t="s">
        <v>423</v>
      </c>
      <c r="C13" s="1" t="s">
        <v>27</v>
      </c>
      <c r="D13" s="1">
        <v>3869</v>
      </c>
      <c r="E13" s="1" t="s">
        <v>458</v>
      </c>
      <c r="F13" s="1">
        <v>350</v>
      </c>
      <c r="G13" s="1">
        <v>200</v>
      </c>
      <c r="H13" s="1">
        <v>32</v>
      </c>
      <c r="I13" s="1"/>
      <c r="J13" s="8">
        <f t="shared" si="1"/>
        <v>6400</v>
      </c>
      <c r="K13" s="27">
        <f t="shared" si="0"/>
        <v>8.8571428571428568E-3</v>
      </c>
      <c r="L13" s="1">
        <v>3.1</v>
      </c>
      <c r="M13" s="1"/>
      <c r="N13" s="1"/>
      <c r="O13" s="1"/>
      <c r="P13" s="1"/>
    </row>
    <row r="14" spans="1:16" ht="15" customHeight="1" x14ac:dyDescent="0.2">
      <c r="A14" s="4">
        <v>46082</v>
      </c>
      <c r="B14" s="1" t="s">
        <v>423</v>
      </c>
      <c r="C14" s="1" t="s">
        <v>33</v>
      </c>
      <c r="D14" s="1">
        <v>3624</v>
      </c>
      <c r="E14" s="1" t="s">
        <v>303</v>
      </c>
      <c r="F14" s="1">
        <v>267.2</v>
      </c>
      <c r="G14" s="1">
        <v>2000</v>
      </c>
      <c r="H14" s="1">
        <v>30</v>
      </c>
      <c r="I14" s="1"/>
      <c r="J14" s="8">
        <f t="shared" si="1"/>
        <v>60000</v>
      </c>
      <c r="K14" s="27">
        <f t="shared" si="0"/>
        <v>2.9010238907849831E-2</v>
      </c>
      <c r="L14" s="1">
        <v>6.8</v>
      </c>
      <c r="M14" s="1">
        <v>5.4</v>
      </c>
      <c r="N14" s="1"/>
      <c r="O14" s="1">
        <v>32.799999999999997</v>
      </c>
      <c r="P14" s="1"/>
    </row>
    <row r="15" spans="1:16" ht="15" customHeight="1" x14ac:dyDescent="0.2">
      <c r="A15" s="4">
        <v>46083</v>
      </c>
      <c r="B15" s="1" t="s">
        <v>40</v>
      </c>
      <c r="C15" s="1" t="s">
        <v>24</v>
      </c>
      <c r="D15" s="1">
        <v>3869</v>
      </c>
      <c r="E15" s="1" t="s">
        <v>458</v>
      </c>
      <c r="F15" s="1">
        <v>913.4</v>
      </c>
      <c r="G15" s="1">
        <v>200</v>
      </c>
      <c r="H15" s="1">
        <v>85</v>
      </c>
      <c r="I15" s="1">
        <v>69</v>
      </c>
      <c r="J15" s="8">
        <f t="shared" si="1"/>
        <v>17069</v>
      </c>
      <c r="K15" s="27">
        <f t="shared" si="0"/>
        <v>2.9559886139697835E-3</v>
      </c>
      <c r="L15" s="1">
        <v>2.7</v>
      </c>
      <c r="M15" s="1"/>
      <c r="N15" s="1"/>
      <c r="O15" s="1"/>
      <c r="P15" s="1"/>
    </row>
    <row r="16" spans="1:16" ht="15" customHeight="1" x14ac:dyDescent="0.2">
      <c r="A16" s="4">
        <v>46083</v>
      </c>
      <c r="B16" s="1" t="s">
        <v>40</v>
      </c>
      <c r="C16" s="1" t="s">
        <v>27</v>
      </c>
      <c r="D16" s="1">
        <v>3869</v>
      </c>
      <c r="E16" s="1" t="s">
        <v>458</v>
      </c>
      <c r="F16" s="1">
        <v>305.39999999999998</v>
      </c>
      <c r="G16" s="1">
        <v>200</v>
      </c>
      <c r="H16" s="1">
        <v>24</v>
      </c>
      <c r="I16" s="1"/>
      <c r="J16" s="8">
        <f t="shared" si="1"/>
        <v>4800</v>
      </c>
      <c r="K16" s="27">
        <f t="shared" si="0"/>
        <v>7.8585461689587421E-3</v>
      </c>
      <c r="L16" s="1">
        <v>2.4</v>
      </c>
      <c r="M16" s="1"/>
      <c r="N16" s="1"/>
      <c r="O16" s="1"/>
      <c r="P16" s="1"/>
    </row>
    <row r="17" spans="1:16" ht="15" customHeight="1" x14ac:dyDescent="0.2">
      <c r="A17" s="4">
        <v>46083</v>
      </c>
      <c r="B17" s="1" t="s">
        <v>40</v>
      </c>
      <c r="C17" s="1" t="s">
        <v>33</v>
      </c>
      <c r="D17" s="1">
        <v>3624</v>
      </c>
      <c r="E17" s="1" t="s">
        <v>303</v>
      </c>
      <c r="F17" s="1">
        <v>208</v>
      </c>
      <c r="G17" s="1">
        <v>2000</v>
      </c>
      <c r="H17" s="1">
        <v>20</v>
      </c>
      <c r="I17" s="1">
        <v>1300</v>
      </c>
      <c r="J17" s="8">
        <f t="shared" si="1"/>
        <v>41300</v>
      </c>
      <c r="K17" s="27">
        <f t="shared" si="0"/>
        <v>4.9668874172185433E-3</v>
      </c>
      <c r="L17" s="1">
        <v>0.9</v>
      </c>
      <c r="M17" s="1">
        <v>1.5</v>
      </c>
      <c r="N17" s="1">
        <v>2.4</v>
      </c>
      <c r="O17" s="1">
        <v>26.8</v>
      </c>
      <c r="P17" s="1"/>
    </row>
    <row r="18" spans="1:16" ht="15" customHeight="1" x14ac:dyDescent="0.2">
      <c r="A18" s="4">
        <v>46083</v>
      </c>
      <c r="B18" s="1" t="s">
        <v>40</v>
      </c>
      <c r="C18" s="1" t="s">
        <v>15</v>
      </c>
      <c r="D18" s="1">
        <v>3856</v>
      </c>
      <c r="E18" s="1" t="s">
        <v>346</v>
      </c>
      <c r="F18" s="1">
        <v>448.8</v>
      </c>
      <c r="G18" s="1">
        <v>125</v>
      </c>
      <c r="H18" s="1">
        <v>39</v>
      </c>
      <c r="I18" s="1"/>
      <c r="J18" s="8">
        <f t="shared" si="1"/>
        <v>4875</v>
      </c>
      <c r="K18" s="27">
        <f t="shared" si="0"/>
        <v>5.7932263814616754E-2</v>
      </c>
      <c r="L18" s="1">
        <v>26</v>
      </c>
      <c r="M18" s="1"/>
      <c r="N18" s="1">
        <v>25.6</v>
      </c>
      <c r="O18" s="1"/>
      <c r="P18" s="1"/>
    </row>
    <row r="19" spans="1:16" ht="15" customHeight="1" x14ac:dyDescent="0.2">
      <c r="A19" s="4">
        <v>46083</v>
      </c>
      <c r="B19" s="1" t="s">
        <v>40</v>
      </c>
      <c r="C19" s="1" t="s">
        <v>20</v>
      </c>
      <c r="D19" s="1">
        <v>3817</v>
      </c>
      <c r="E19" s="1" t="s">
        <v>432</v>
      </c>
      <c r="F19" s="1">
        <v>600.6</v>
      </c>
      <c r="G19" s="1">
        <v>1000</v>
      </c>
      <c r="H19" s="1">
        <v>38</v>
      </c>
      <c r="I19" s="1">
        <v>355</v>
      </c>
      <c r="J19" s="8">
        <f t="shared" si="1"/>
        <v>38355</v>
      </c>
      <c r="K19" s="27">
        <f t="shared" si="0"/>
        <v>0</v>
      </c>
      <c r="L19" s="1"/>
      <c r="M19" s="1">
        <v>7.7</v>
      </c>
      <c r="N19" s="1"/>
      <c r="O19" s="1"/>
      <c r="P19" s="1"/>
    </row>
    <row r="20" spans="1:16" ht="15" customHeight="1" x14ac:dyDescent="0.2">
      <c r="A20" s="4">
        <v>46083</v>
      </c>
      <c r="B20" s="1" t="s">
        <v>40</v>
      </c>
      <c r="C20" s="1" t="s">
        <v>27</v>
      </c>
      <c r="D20" s="1">
        <v>3869</v>
      </c>
      <c r="E20" s="1" t="s">
        <v>458</v>
      </c>
      <c r="F20" s="1">
        <v>500</v>
      </c>
      <c r="G20" s="1">
        <v>250</v>
      </c>
      <c r="H20" s="1">
        <v>40</v>
      </c>
      <c r="I20" s="1"/>
      <c r="J20" s="8">
        <f t="shared" si="1"/>
        <v>10000</v>
      </c>
      <c r="K20" s="27">
        <f t="shared" si="0"/>
        <v>0</v>
      </c>
      <c r="L20" s="1"/>
      <c r="M20" s="1"/>
      <c r="N20" s="1">
        <v>3.6</v>
      </c>
      <c r="O20" s="1"/>
      <c r="P20" s="1"/>
    </row>
    <row r="21" spans="1:16" ht="15" customHeight="1" x14ac:dyDescent="0.2">
      <c r="A21" s="4">
        <v>46083</v>
      </c>
      <c r="B21" s="1" t="s">
        <v>40</v>
      </c>
      <c r="C21" s="1" t="s">
        <v>15</v>
      </c>
      <c r="D21" s="1">
        <v>3857</v>
      </c>
      <c r="E21" s="1" t="s">
        <v>347</v>
      </c>
      <c r="F21" s="1">
        <v>835</v>
      </c>
      <c r="G21" s="1">
        <v>125</v>
      </c>
      <c r="H21" s="1">
        <v>71</v>
      </c>
      <c r="I21" s="1">
        <v>120</v>
      </c>
      <c r="J21" s="8">
        <f t="shared" si="1"/>
        <v>8995</v>
      </c>
      <c r="K21" s="27">
        <f t="shared" si="0"/>
        <v>3.9520958083832337E-3</v>
      </c>
      <c r="L21" s="1">
        <v>3.3</v>
      </c>
      <c r="M21" s="1"/>
      <c r="N21" s="1">
        <v>6.3</v>
      </c>
      <c r="O21" s="1"/>
      <c r="P21" s="1"/>
    </row>
    <row r="22" spans="1:16" ht="15" customHeight="1" x14ac:dyDescent="0.2">
      <c r="A22" s="4">
        <v>46083</v>
      </c>
      <c r="B22" s="1" t="s">
        <v>40</v>
      </c>
      <c r="C22" s="1" t="s">
        <v>27</v>
      </c>
      <c r="D22" s="1">
        <v>3480</v>
      </c>
      <c r="E22" s="1" t="s">
        <v>718</v>
      </c>
      <c r="F22" s="1">
        <v>83</v>
      </c>
      <c r="G22" s="1">
        <v>500</v>
      </c>
      <c r="H22" s="1">
        <v>16</v>
      </c>
      <c r="I22" s="1"/>
      <c r="J22" s="8">
        <f t="shared" si="1"/>
        <v>8000</v>
      </c>
      <c r="K22" s="27">
        <f t="shared" si="0"/>
        <v>3.4438775510204078E-2</v>
      </c>
      <c r="L22" s="1">
        <v>2.7</v>
      </c>
      <c r="M22" s="1">
        <v>3.1</v>
      </c>
      <c r="N22" s="1">
        <v>0.9</v>
      </c>
      <c r="O22" s="1">
        <v>4.5999999999999996</v>
      </c>
      <c r="P22" s="1"/>
    </row>
    <row r="23" spans="1:16" ht="15" customHeight="1" x14ac:dyDescent="0.2">
      <c r="A23" s="4">
        <v>46083</v>
      </c>
      <c r="B23" s="1" t="s">
        <v>40</v>
      </c>
      <c r="C23" s="1" t="s">
        <v>33</v>
      </c>
      <c r="D23" s="1">
        <v>3563</v>
      </c>
      <c r="E23" s="1" t="s">
        <v>518</v>
      </c>
      <c r="F23" s="1">
        <v>282.7</v>
      </c>
      <c r="G23" s="1">
        <v>500</v>
      </c>
      <c r="H23" s="1">
        <v>31</v>
      </c>
      <c r="I23" s="1">
        <v>165</v>
      </c>
      <c r="J23" s="8">
        <f t="shared" si="1"/>
        <v>15665</v>
      </c>
      <c r="K23" s="27">
        <f t="shared" si="0"/>
        <v>8.0160320641282558E-3</v>
      </c>
      <c r="L23" s="1">
        <v>2</v>
      </c>
      <c r="M23" s="1">
        <v>2.9</v>
      </c>
      <c r="N23" s="1">
        <v>2</v>
      </c>
      <c r="O23" s="1">
        <v>33.200000000000003</v>
      </c>
      <c r="P23" s="1"/>
    </row>
    <row r="24" spans="1:16" x14ac:dyDescent="0.2">
      <c r="A24" s="4">
        <v>46083</v>
      </c>
      <c r="B24" s="1" t="s">
        <v>40</v>
      </c>
      <c r="C24" s="1" t="s">
        <v>33</v>
      </c>
      <c r="D24" s="1">
        <v>3564</v>
      </c>
      <c r="E24" s="1" t="s">
        <v>719</v>
      </c>
      <c r="F24" s="1">
        <v>358.1</v>
      </c>
      <c r="G24" s="1">
        <v>500</v>
      </c>
      <c r="H24" s="1">
        <v>26</v>
      </c>
      <c r="I24" s="1"/>
      <c r="J24" s="8">
        <f t="shared" si="1"/>
        <v>13000</v>
      </c>
      <c r="K24" s="27">
        <f t="shared" si="0"/>
        <v>1.9302615193026149E-2</v>
      </c>
      <c r="L24" s="1">
        <v>6.2</v>
      </c>
      <c r="M24" s="1">
        <v>6.1</v>
      </c>
      <c r="N24" s="1"/>
      <c r="O24" s="1">
        <v>36.9</v>
      </c>
      <c r="P24" s="1"/>
    </row>
    <row r="25" spans="1:16" x14ac:dyDescent="0.2">
      <c r="A25" s="4">
        <v>46083</v>
      </c>
      <c r="B25" s="1" t="s">
        <v>40</v>
      </c>
      <c r="C25" s="1" t="s">
        <v>24</v>
      </c>
      <c r="D25" s="1">
        <v>3868</v>
      </c>
      <c r="E25" s="1" t="s">
        <v>459</v>
      </c>
      <c r="F25" s="1">
        <v>90.9</v>
      </c>
      <c r="G25" s="1">
        <v>250</v>
      </c>
      <c r="H25" s="1">
        <v>8</v>
      </c>
      <c r="I25" s="1"/>
      <c r="J25" s="8">
        <f t="shared" si="1"/>
        <v>2000</v>
      </c>
      <c r="K25" s="27">
        <f t="shared" si="0"/>
        <v>0</v>
      </c>
      <c r="L25" s="1"/>
      <c r="M25" s="1"/>
      <c r="N25" s="1">
        <v>1.7</v>
      </c>
      <c r="O25" s="1"/>
      <c r="P25" s="1"/>
    </row>
    <row r="26" spans="1:16" x14ac:dyDescent="0.2">
      <c r="A26" s="4">
        <v>46083</v>
      </c>
      <c r="B26" s="1" t="s">
        <v>40</v>
      </c>
      <c r="C26" s="1" t="s">
        <v>15</v>
      </c>
      <c r="D26" s="1">
        <v>3902</v>
      </c>
      <c r="E26" s="1" t="s">
        <v>720</v>
      </c>
      <c r="F26" s="1">
        <v>54</v>
      </c>
      <c r="G26" s="1">
        <v>500</v>
      </c>
      <c r="H26" s="1">
        <v>6</v>
      </c>
      <c r="I26" s="1"/>
      <c r="J26" s="8">
        <f t="shared" si="1"/>
        <v>3000</v>
      </c>
      <c r="K26" s="27">
        <f t="shared" si="0"/>
        <v>0</v>
      </c>
      <c r="L26" s="1"/>
      <c r="M26" s="1"/>
      <c r="N26" s="1"/>
      <c r="O26" s="1"/>
      <c r="P26" s="1"/>
    </row>
    <row r="27" spans="1:16" x14ac:dyDescent="0.2">
      <c r="A27" s="4">
        <v>46083</v>
      </c>
      <c r="B27" s="1" t="s">
        <v>40</v>
      </c>
      <c r="C27" s="1" t="s">
        <v>20</v>
      </c>
      <c r="D27" s="1">
        <v>3680</v>
      </c>
      <c r="E27" s="1" t="s">
        <v>721</v>
      </c>
      <c r="F27" s="1">
        <v>4.4000000000000004</v>
      </c>
      <c r="G27" s="1">
        <v>195</v>
      </c>
      <c r="H27" s="1">
        <v>1</v>
      </c>
      <c r="I27" s="1"/>
      <c r="J27" s="8">
        <f t="shared" si="1"/>
        <v>195</v>
      </c>
      <c r="K27" s="27">
        <f t="shared" si="0"/>
        <v>0</v>
      </c>
      <c r="L27" s="1"/>
      <c r="M27" s="1"/>
      <c r="N27" s="1"/>
      <c r="O27" s="1"/>
      <c r="P27" s="1"/>
    </row>
    <row r="28" spans="1:16" ht="15" customHeight="1" x14ac:dyDescent="0.2">
      <c r="A28" s="4">
        <v>46083</v>
      </c>
      <c r="B28" s="1" t="s">
        <v>40</v>
      </c>
      <c r="C28" s="1" t="s">
        <v>20</v>
      </c>
      <c r="D28" s="1">
        <v>1</v>
      </c>
      <c r="E28" s="1" t="s">
        <v>722</v>
      </c>
      <c r="F28" s="1">
        <v>57.7</v>
      </c>
      <c r="G28" s="1">
        <v>4000</v>
      </c>
      <c r="H28" s="1">
        <v>7</v>
      </c>
      <c r="I28" s="1">
        <v>1300</v>
      </c>
      <c r="J28" s="8">
        <f t="shared" si="1"/>
        <v>29300</v>
      </c>
      <c r="K28" s="27">
        <f t="shared" si="0"/>
        <v>1.7331022530329288E-3</v>
      </c>
      <c r="L28" s="1">
        <v>0.1</v>
      </c>
      <c r="M28" s="1"/>
      <c r="N28" s="1"/>
      <c r="O28" s="1"/>
      <c r="P28" s="1"/>
    </row>
    <row r="29" spans="1:16" x14ac:dyDescent="0.2">
      <c r="A29" s="4">
        <v>46083</v>
      </c>
      <c r="B29" s="1" t="s">
        <v>40</v>
      </c>
      <c r="C29" s="1" t="s">
        <v>20</v>
      </c>
      <c r="D29" s="1">
        <v>3927</v>
      </c>
      <c r="E29" s="1" t="s">
        <v>723</v>
      </c>
      <c r="F29" s="1">
        <v>52.2</v>
      </c>
      <c r="G29" s="1">
        <v>1000</v>
      </c>
      <c r="H29" s="1">
        <v>4</v>
      </c>
      <c r="I29" s="1"/>
      <c r="J29" s="8">
        <f t="shared" si="1"/>
        <v>4000</v>
      </c>
      <c r="K29" s="27">
        <f t="shared" si="0"/>
        <v>1.1494252873563216E-2</v>
      </c>
      <c r="L29" s="1">
        <v>0.6</v>
      </c>
      <c r="M29" s="1"/>
      <c r="N29" s="1"/>
      <c r="O29" s="1"/>
      <c r="P29" s="1"/>
    </row>
    <row r="30" spans="1:16" x14ac:dyDescent="0.2">
      <c r="A30" s="4">
        <v>46084</v>
      </c>
      <c r="B30" s="1" t="s">
        <v>54</v>
      </c>
      <c r="C30" s="1" t="s">
        <v>15</v>
      </c>
      <c r="D30" s="1">
        <v>3902</v>
      </c>
      <c r="E30" s="1" t="s">
        <v>720</v>
      </c>
      <c r="F30" s="1">
        <v>96.5</v>
      </c>
      <c r="G30" s="1">
        <v>500</v>
      </c>
      <c r="H30" s="1">
        <v>4</v>
      </c>
      <c r="I30" s="1">
        <v>497</v>
      </c>
      <c r="J30" s="8">
        <f t="shared" si="1"/>
        <v>2497</v>
      </c>
      <c r="K30" s="27">
        <f t="shared" si="0"/>
        <v>0</v>
      </c>
      <c r="L30" s="1"/>
      <c r="M30" s="1"/>
      <c r="N30" s="1"/>
      <c r="O30" s="1"/>
      <c r="P30" s="1"/>
    </row>
    <row r="31" spans="1:16" x14ac:dyDescent="0.2">
      <c r="A31" s="4">
        <v>46084</v>
      </c>
      <c r="B31" s="1" t="s">
        <v>54</v>
      </c>
      <c r="C31" s="1" t="s">
        <v>20</v>
      </c>
      <c r="D31" s="1">
        <v>3927</v>
      </c>
      <c r="E31" s="1" t="s">
        <v>723</v>
      </c>
      <c r="F31" s="1">
        <v>165</v>
      </c>
      <c r="G31" s="1">
        <v>1000</v>
      </c>
      <c r="H31" s="1">
        <v>14</v>
      </c>
      <c r="I31" s="1">
        <v>870</v>
      </c>
      <c r="J31" s="8">
        <f t="shared" si="1"/>
        <v>14870</v>
      </c>
      <c r="K31" s="27">
        <f t="shared" si="0"/>
        <v>4.8484848484848485E-3</v>
      </c>
      <c r="L31" s="1">
        <v>0.8</v>
      </c>
      <c r="M31" s="1"/>
      <c r="N31" s="1"/>
      <c r="O31" s="1"/>
      <c r="P31" s="1"/>
    </row>
    <row r="32" spans="1:16" x14ac:dyDescent="0.2">
      <c r="A32" s="4">
        <v>46084</v>
      </c>
      <c r="B32" s="1" t="s">
        <v>54</v>
      </c>
      <c r="C32" s="1" t="s">
        <v>24</v>
      </c>
      <c r="D32" s="1">
        <v>3868</v>
      </c>
      <c r="E32" s="1" t="s">
        <v>459</v>
      </c>
      <c r="F32" s="1">
        <v>813</v>
      </c>
      <c r="G32" s="1">
        <v>250</v>
      </c>
      <c r="H32" s="1">
        <v>77</v>
      </c>
      <c r="I32" s="1"/>
      <c r="J32" s="8">
        <f t="shared" si="1"/>
        <v>19250</v>
      </c>
      <c r="K32" s="27">
        <f t="shared" si="0"/>
        <v>5.6580565805658053E-3</v>
      </c>
      <c r="L32" s="1">
        <v>4.5999999999999996</v>
      </c>
      <c r="M32" s="1"/>
      <c r="N32" s="1"/>
      <c r="O32" s="1"/>
      <c r="P32" s="1"/>
    </row>
    <row r="33" spans="1:16" x14ac:dyDescent="0.2">
      <c r="A33" s="4">
        <v>46084</v>
      </c>
      <c r="B33" s="1" t="s">
        <v>54</v>
      </c>
      <c r="C33" s="1" t="s">
        <v>27</v>
      </c>
      <c r="D33" s="1">
        <v>3480</v>
      </c>
      <c r="E33" s="1" t="s">
        <v>718</v>
      </c>
      <c r="F33" s="1">
        <v>98.7</v>
      </c>
      <c r="G33" s="1">
        <v>500</v>
      </c>
      <c r="H33" s="1">
        <v>11</v>
      </c>
      <c r="I33" s="1">
        <v>200</v>
      </c>
      <c r="J33" s="8">
        <f t="shared" si="1"/>
        <v>5700</v>
      </c>
      <c r="K33" s="27">
        <f t="shared" si="0"/>
        <v>2.3302938196555215E-2</v>
      </c>
      <c r="L33" s="1">
        <v>2.2999999999999998</v>
      </c>
      <c r="M33" s="1"/>
      <c r="N33" s="1"/>
      <c r="O33" s="1"/>
      <c r="P33" s="1"/>
    </row>
    <row r="34" spans="1:16" x14ac:dyDescent="0.2">
      <c r="A34" s="4">
        <v>46084</v>
      </c>
      <c r="B34" s="1" t="s">
        <v>54</v>
      </c>
      <c r="C34" s="1" t="s">
        <v>15</v>
      </c>
      <c r="D34" s="1">
        <v>3903</v>
      </c>
      <c r="E34" s="1" t="s">
        <v>724</v>
      </c>
      <c r="F34" s="1">
        <v>95.8</v>
      </c>
      <c r="G34" s="1">
        <v>1000</v>
      </c>
      <c r="H34" s="1">
        <v>6</v>
      </c>
      <c r="I34" s="1"/>
      <c r="J34" s="8">
        <f t="shared" si="1"/>
        <v>6000</v>
      </c>
      <c r="K34" s="27">
        <f t="shared" si="0"/>
        <v>3.1315240083507308E-3</v>
      </c>
      <c r="L34" s="1">
        <v>0.3</v>
      </c>
      <c r="M34" s="1"/>
      <c r="N34" s="1"/>
      <c r="O34" s="1"/>
      <c r="P34" s="1"/>
    </row>
    <row r="35" spans="1:16" x14ac:dyDescent="0.2">
      <c r="A35" s="4">
        <v>46084</v>
      </c>
      <c r="B35" s="1" t="s">
        <v>54</v>
      </c>
      <c r="C35" s="1" t="s">
        <v>15</v>
      </c>
      <c r="D35" s="1">
        <v>3482</v>
      </c>
      <c r="E35" s="1" t="s">
        <v>725</v>
      </c>
      <c r="F35" s="1">
        <v>289.2</v>
      </c>
      <c r="G35" s="1">
        <v>500</v>
      </c>
      <c r="H35" s="1">
        <v>31</v>
      </c>
      <c r="I35" s="1"/>
      <c r="J35" s="8">
        <f t="shared" si="1"/>
        <v>15500</v>
      </c>
      <c r="K35" s="27">
        <f t="shared" si="0"/>
        <v>1.9224047535826638E-2</v>
      </c>
      <c r="L35" s="1">
        <v>5.5</v>
      </c>
      <c r="M35" s="1"/>
      <c r="N35" s="1"/>
      <c r="O35" s="1">
        <v>3.1</v>
      </c>
      <c r="P35" s="1"/>
    </row>
    <row r="36" spans="1:16" x14ac:dyDescent="0.2">
      <c r="A36" s="4">
        <v>46084</v>
      </c>
      <c r="B36" s="1" t="s">
        <v>54</v>
      </c>
      <c r="C36" s="1" t="s">
        <v>20</v>
      </c>
      <c r="D36" s="1">
        <v>3929</v>
      </c>
      <c r="E36" s="1" t="s">
        <v>726</v>
      </c>
      <c r="F36" s="1">
        <v>258.7</v>
      </c>
      <c r="G36" s="1">
        <v>800</v>
      </c>
      <c r="H36" s="1">
        <v>22</v>
      </c>
      <c r="I36" s="1">
        <v>950</v>
      </c>
      <c r="J36" s="8">
        <f t="shared" si="1"/>
        <v>18550</v>
      </c>
      <c r="K36" s="27">
        <f>IFERROR(L36/(F36-O36)*100%,0)</f>
        <v>7.7309625048318517E-3</v>
      </c>
      <c r="L36" s="1">
        <v>2</v>
      </c>
      <c r="M36" s="1"/>
      <c r="N36" s="1"/>
      <c r="O36" s="1"/>
      <c r="P36" s="1"/>
    </row>
    <row r="37" spans="1:16" x14ac:dyDescent="0.2">
      <c r="A37" s="4">
        <v>46084</v>
      </c>
      <c r="B37" s="1" t="s">
        <v>54</v>
      </c>
      <c r="C37" s="1" t="s">
        <v>20</v>
      </c>
      <c r="D37" s="1">
        <v>3862</v>
      </c>
      <c r="E37" s="1" t="s">
        <v>727</v>
      </c>
      <c r="F37" s="1">
        <v>166.9</v>
      </c>
      <c r="G37" s="1">
        <v>500</v>
      </c>
      <c r="H37" s="1">
        <v>21</v>
      </c>
      <c r="I37" s="1">
        <v>580</v>
      </c>
      <c r="J37" s="8">
        <f t="shared" si="1"/>
        <v>11080</v>
      </c>
      <c r="K37" s="27">
        <f t="shared" ref="K37:K100" si="2">IFERROR(L37/(F37-O37)*100%,0)</f>
        <v>3.1156381066506891E-2</v>
      </c>
      <c r="L37" s="1">
        <v>5.2</v>
      </c>
      <c r="M37" s="1"/>
      <c r="N37" s="1">
        <v>2</v>
      </c>
      <c r="O37" s="1"/>
      <c r="P37" s="1"/>
    </row>
    <row r="38" spans="1:16" x14ac:dyDescent="0.2">
      <c r="A38" s="4">
        <v>46084</v>
      </c>
      <c r="B38" s="1" t="s">
        <v>54</v>
      </c>
      <c r="C38" s="1" t="s">
        <v>20</v>
      </c>
      <c r="D38" s="1">
        <v>3863</v>
      </c>
      <c r="E38" s="1" t="s">
        <v>728</v>
      </c>
      <c r="F38" s="1">
        <v>72.3</v>
      </c>
      <c r="G38" s="1">
        <v>500</v>
      </c>
      <c r="H38" s="1">
        <v>10</v>
      </c>
      <c r="I38" s="1">
        <v>250</v>
      </c>
      <c r="J38" s="8">
        <f t="shared" si="1"/>
        <v>5250</v>
      </c>
      <c r="K38" s="27">
        <f t="shared" si="2"/>
        <v>2.6279391424619641E-2</v>
      </c>
      <c r="L38" s="1">
        <v>1.9</v>
      </c>
      <c r="M38" s="1"/>
      <c r="N38" s="1"/>
      <c r="O38" s="1"/>
      <c r="P38" s="1"/>
    </row>
    <row r="39" spans="1:16" x14ac:dyDescent="0.2">
      <c r="A39" s="4">
        <v>46084</v>
      </c>
      <c r="B39" s="1" t="s">
        <v>54</v>
      </c>
      <c r="C39" s="1" t="s">
        <v>15</v>
      </c>
      <c r="D39" s="1">
        <v>3854</v>
      </c>
      <c r="E39" s="1" t="s">
        <v>729</v>
      </c>
      <c r="F39" s="1">
        <v>124.7</v>
      </c>
      <c r="G39" s="1">
        <v>1000</v>
      </c>
      <c r="H39" s="1">
        <v>32</v>
      </c>
      <c r="I39" s="1">
        <v>250</v>
      </c>
      <c r="J39" s="8">
        <f t="shared" si="1"/>
        <v>32250</v>
      </c>
      <c r="K39" s="27">
        <f t="shared" si="2"/>
        <v>5.6134723336006415E-3</v>
      </c>
      <c r="L39" s="1">
        <v>0.7</v>
      </c>
      <c r="M39" s="1"/>
      <c r="N39" s="1"/>
      <c r="O39" s="1"/>
      <c r="P39" s="1"/>
    </row>
    <row r="40" spans="1:16" x14ac:dyDescent="0.2">
      <c r="A40" s="4">
        <v>46084</v>
      </c>
      <c r="B40" s="1" t="s">
        <v>54</v>
      </c>
      <c r="C40" s="1" t="s">
        <v>27</v>
      </c>
      <c r="D40" s="1">
        <v>3953</v>
      </c>
      <c r="E40" s="1" t="s">
        <v>730</v>
      </c>
      <c r="F40" s="1">
        <v>226</v>
      </c>
      <c r="G40" s="1">
        <v>1000</v>
      </c>
      <c r="H40" s="1">
        <v>61</v>
      </c>
      <c r="I40" s="1"/>
      <c r="J40" s="8">
        <f t="shared" si="1"/>
        <v>61000</v>
      </c>
      <c r="K40" s="27">
        <f t="shared" si="2"/>
        <v>1.6814159292035398E-2</v>
      </c>
      <c r="L40" s="1">
        <v>3.8</v>
      </c>
      <c r="M40" s="1"/>
      <c r="N40" s="1"/>
      <c r="O40" s="1"/>
      <c r="P40" s="1"/>
    </row>
    <row r="41" spans="1:16" x14ac:dyDescent="0.2">
      <c r="A41" s="4">
        <v>46084</v>
      </c>
      <c r="B41" s="1" t="s">
        <v>54</v>
      </c>
      <c r="C41" s="1" t="s">
        <v>27</v>
      </c>
      <c r="D41" s="1">
        <v>3540</v>
      </c>
      <c r="E41" s="1" t="s">
        <v>657</v>
      </c>
      <c r="F41" s="1">
        <v>115.3</v>
      </c>
      <c r="G41" s="1">
        <v>500</v>
      </c>
      <c r="H41" s="1">
        <v>25</v>
      </c>
      <c r="I41" s="1"/>
      <c r="J41" s="8">
        <f t="shared" si="1"/>
        <v>12500</v>
      </c>
      <c r="K41" s="27">
        <f t="shared" si="2"/>
        <v>4.9135577797998188E-2</v>
      </c>
      <c r="L41" s="1">
        <v>5.4</v>
      </c>
      <c r="M41" s="1"/>
      <c r="N41" s="1"/>
      <c r="O41" s="1">
        <v>5.4</v>
      </c>
      <c r="P41" s="1"/>
    </row>
    <row r="42" spans="1:16" x14ac:dyDescent="0.2">
      <c r="A42" s="4">
        <v>46084</v>
      </c>
      <c r="B42" s="1" t="s">
        <v>54</v>
      </c>
      <c r="C42" s="1" t="s">
        <v>15</v>
      </c>
      <c r="D42" s="1">
        <v>3855</v>
      </c>
      <c r="E42" s="1" t="s">
        <v>731</v>
      </c>
      <c r="F42" s="1">
        <v>128.5</v>
      </c>
      <c r="G42" s="1">
        <v>1000</v>
      </c>
      <c r="H42" s="1">
        <v>22</v>
      </c>
      <c r="I42" s="1"/>
      <c r="J42" s="8">
        <f t="shared" si="1"/>
        <v>22000</v>
      </c>
      <c r="K42" s="27">
        <f t="shared" si="2"/>
        <v>1.0894941634241245E-2</v>
      </c>
      <c r="L42" s="1">
        <v>1.4</v>
      </c>
      <c r="M42" s="1"/>
      <c r="N42" s="1"/>
      <c r="O42" s="1"/>
      <c r="P42" s="1"/>
    </row>
    <row r="43" spans="1:16" x14ac:dyDescent="0.2">
      <c r="A43" s="4">
        <v>46084</v>
      </c>
      <c r="B43" s="1" t="s">
        <v>54</v>
      </c>
      <c r="C43" s="1" t="s">
        <v>20</v>
      </c>
      <c r="D43" s="1">
        <v>3881</v>
      </c>
      <c r="E43" s="1" t="s">
        <v>732</v>
      </c>
      <c r="F43" s="1">
        <v>91.3</v>
      </c>
      <c r="G43" s="1">
        <v>800</v>
      </c>
      <c r="H43" s="1">
        <v>12</v>
      </c>
      <c r="I43" s="1">
        <v>200</v>
      </c>
      <c r="J43" s="8">
        <f t="shared" si="1"/>
        <v>9800</v>
      </c>
      <c r="K43" s="27">
        <f t="shared" si="2"/>
        <v>9.8576122672508221E-3</v>
      </c>
      <c r="L43" s="1">
        <v>0.9</v>
      </c>
      <c r="M43" s="1"/>
      <c r="N43" s="1"/>
      <c r="O43" s="1"/>
      <c r="P43" s="1"/>
    </row>
    <row r="44" spans="1:16" x14ac:dyDescent="0.2">
      <c r="A44" s="4">
        <v>46084</v>
      </c>
      <c r="B44" s="1" t="s">
        <v>54</v>
      </c>
      <c r="C44" s="1" t="s">
        <v>20</v>
      </c>
      <c r="D44" s="1">
        <v>3882</v>
      </c>
      <c r="E44" s="1" t="s">
        <v>733</v>
      </c>
      <c r="F44" s="1">
        <v>47</v>
      </c>
      <c r="G44" s="1">
        <v>4</v>
      </c>
      <c r="H44" s="1">
        <v>700</v>
      </c>
      <c r="I44" s="1"/>
      <c r="J44" s="8">
        <f t="shared" si="1"/>
        <v>2800</v>
      </c>
      <c r="K44" s="27">
        <f t="shared" si="2"/>
        <v>2.1276595744680851E-2</v>
      </c>
      <c r="L44" s="1">
        <v>1</v>
      </c>
      <c r="M44" s="1"/>
      <c r="N44" s="1"/>
      <c r="O44" s="1"/>
      <c r="P44" s="1"/>
    </row>
    <row r="45" spans="1:16" x14ac:dyDescent="0.2">
      <c r="A45" s="4">
        <v>46084</v>
      </c>
      <c r="B45" s="1" t="s">
        <v>54</v>
      </c>
      <c r="C45" s="1" t="s">
        <v>33</v>
      </c>
      <c r="D45" s="1">
        <v>3873</v>
      </c>
      <c r="E45" s="1" t="s">
        <v>734</v>
      </c>
      <c r="F45" s="1">
        <v>41.3</v>
      </c>
      <c r="G45" s="1">
        <v>500</v>
      </c>
      <c r="H45" s="1">
        <v>4</v>
      </c>
      <c r="I45" s="1"/>
      <c r="J45" s="8">
        <f t="shared" si="1"/>
        <v>2000</v>
      </c>
      <c r="K45" s="27">
        <f t="shared" si="2"/>
        <v>4.065040650406504E-2</v>
      </c>
      <c r="L45" s="1">
        <v>1.5</v>
      </c>
      <c r="M45" s="1"/>
      <c r="N45" s="1"/>
      <c r="O45" s="1">
        <v>4.4000000000000004</v>
      </c>
      <c r="P45" s="1"/>
    </row>
    <row r="46" spans="1:16" x14ac:dyDescent="0.2">
      <c r="A46" s="4">
        <v>46084</v>
      </c>
      <c r="B46" s="1" t="s">
        <v>54</v>
      </c>
      <c r="C46" s="1"/>
      <c r="D46" s="1">
        <v>4029</v>
      </c>
      <c r="E46" s="1" t="s">
        <v>735</v>
      </c>
      <c r="F46" s="1"/>
      <c r="G46" s="1">
        <v>2000</v>
      </c>
      <c r="H46" s="1">
        <v>2</v>
      </c>
      <c r="I46" s="1"/>
      <c r="J46" s="8">
        <f t="shared" si="1"/>
        <v>4000</v>
      </c>
      <c r="K46" s="27">
        <f t="shared" si="2"/>
        <v>0</v>
      </c>
      <c r="L46" s="1">
        <v>10</v>
      </c>
      <c r="M46" s="1"/>
      <c r="N46" s="1"/>
      <c r="O46" s="1"/>
      <c r="P46" s="1"/>
    </row>
    <row r="47" spans="1:16" x14ac:dyDescent="0.2">
      <c r="A47" s="4">
        <v>46085</v>
      </c>
      <c r="B47" s="1" t="s">
        <v>423</v>
      </c>
      <c r="C47" s="1" t="s">
        <v>15</v>
      </c>
      <c r="D47" s="1">
        <v>3584</v>
      </c>
      <c r="E47" s="1" t="s">
        <v>44</v>
      </c>
      <c r="F47" s="1">
        <v>196</v>
      </c>
      <c r="G47" s="1">
        <v>2000</v>
      </c>
      <c r="H47" s="1">
        <v>19</v>
      </c>
      <c r="I47" s="1"/>
      <c r="J47" s="8">
        <f t="shared" si="1"/>
        <v>38000</v>
      </c>
      <c r="K47" s="27">
        <f t="shared" si="2"/>
        <v>4.336734693877551E-2</v>
      </c>
      <c r="L47" s="1">
        <v>8.5</v>
      </c>
      <c r="M47" s="1">
        <v>6.3</v>
      </c>
      <c r="N47" s="1"/>
      <c r="O47" s="1"/>
      <c r="P47" s="1"/>
    </row>
    <row r="48" spans="1:16" x14ac:dyDescent="0.2">
      <c r="A48" s="4">
        <v>46085</v>
      </c>
      <c r="B48" s="1" t="s">
        <v>423</v>
      </c>
      <c r="C48" s="1" t="s">
        <v>20</v>
      </c>
      <c r="D48" s="1">
        <v>3882</v>
      </c>
      <c r="E48" s="1" t="s">
        <v>733</v>
      </c>
      <c r="F48" s="1">
        <v>42</v>
      </c>
      <c r="G48" s="1">
        <v>700</v>
      </c>
      <c r="H48" s="1">
        <v>4</v>
      </c>
      <c r="I48" s="1">
        <v>465</v>
      </c>
      <c r="J48" s="8">
        <f t="shared" si="1"/>
        <v>3265</v>
      </c>
      <c r="K48" s="27">
        <f t="shared" si="2"/>
        <v>4.7619047619047623E-3</v>
      </c>
      <c r="L48" s="1">
        <v>0.2</v>
      </c>
      <c r="M48" s="1"/>
      <c r="N48" s="1"/>
      <c r="O48" s="1"/>
      <c r="P48" s="1"/>
    </row>
    <row r="49" spans="1:16" x14ac:dyDescent="0.2">
      <c r="A49" s="4">
        <v>46085</v>
      </c>
      <c r="B49" s="1" t="s">
        <v>423</v>
      </c>
      <c r="C49" s="1" t="s">
        <v>20</v>
      </c>
      <c r="D49" s="1">
        <v>3919</v>
      </c>
      <c r="E49" s="1" t="s">
        <v>736</v>
      </c>
      <c r="F49" s="1">
        <v>301.10000000000002</v>
      </c>
      <c r="G49" s="1">
        <v>250</v>
      </c>
      <c r="H49" s="1">
        <v>19</v>
      </c>
      <c r="I49" s="1">
        <v>200</v>
      </c>
      <c r="J49" s="8">
        <f t="shared" si="1"/>
        <v>4950</v>
      </c>
      <c r="K49" s="27">
        <f t="shared" si="2"/>
        <v>1.4613085353703089E-2</v>
      </c>
      <c r="L49" s="1">
        <v>4.4000000000000004</v>
      </c>
      <c r="M49" s="1"/>
      <c r="N49" s="1"/>
      <c r="O49" s="1"/>
      <c r="P49" s="1"/>
    </row>
    <row r="50" spans="1:16" x14ac:dyDescent="0.2">
      <c r="A50" s="4">
        <v>46085</v>
      </c>
      <c r="B50" s="1" t="s">
        <v>423</v>
      </c>
      <c r="C50" s="1" t="s">
        <v>20</v>
      </c>
      <c r="D50" s="1"/>
      <c r="E50" s="1" t="s">
        <v>737</v>
      </c>
      <c r="F50" s="1"/>
      <c r="G50" s="1">
        <v>25</v>
      </c>
      <c r="H50" s="1">
        <v>1</v>
      </c>
      <c r="I50" s="1"/>
      <c r="J50" s="8">
        <f t="shared" si="1"/>
        <v>25</v>
      </c>
      <c r="K50" s="27">
        <f t="shared" si="2"/>
        <v>0</v>
      </c>
      <c r="L50" s="1"/>
      <c r="M50" s="1"/>
      <c r="N50" s="1"/>
      <c r="O50" s="1"/>
      <c r="P50" s="1"/>
    </row>
    <row r="51" spans="1:16" x14ac:dyDescent="0.2">
      <c r="A51" s="4">
        <v>46085</v>
      </c>
      <c r="B51" s="1" t="s">
        <v>423</v>
      </c>
      <c r="C51" s="1" t="s">
        <v>20</v>
      </c>
      <c r="D51" s="1">
        <v>3893</v>
      </c>
      <c r="E51" s="1" t="s">
        <v>234</v>
      </c>
      <c r="F51" s="1">
        <v>366.4</v>
      </c>
      <c r="G51" s="1">
        <v>1000</v>
      </c>
      <c r="H51" s="1">
        <v>26</v>
      </c>
      <c r="I51" s="1">
        <v>700</v>
      </c>
      <c r="J51" s="8">
        <f t="shared" si="1"/>
        <v>26700</v>
      </c>
      <c r="K51" s="27">
        <f t="shared" si="2"/>
        <v>1.037117903930131E-2</v>
      </c>
      <c r="L51" s="1">
        <v>3.8</v>
      </c>
      <c r="M51" s="1"/>
      <c r="N51" s="1"/>
      <c r="O51" s="1"/>
      <c r="P51" s="1"/>
    </row>
    <row r="52" spans="1:16" x14ac:dyDescent="0.2">
      <c r="A52" s="4">
        <v>46085</v>
      </c>
      <c r="B52" s="1" t="s">
        <v>423</v>
      </c>
      <c r="C52" s="1" t="s">
        <v>20</v>
      </c>
      <c r="D52" s="1">
        <v>3884</v>
      </c>
      <c r="E52" s="1" t="s">
        <v>738</v>
      </c>
      <c r="F52" s="1">
        <v>440.4</v>
      </c>
      <c r="G52" s="1">
        <v>2000</v>
      </c>
      <c r="H52" s="1">
        <v>26</v>
      </c>
      <c r="I52" s="1"/>
      <c r="J52" s="8">
        <f t="shared" si="1"/>
        <v>52000</v>
      </c>
      <c r="K52" s="27">
        <f t="shared" si="2"/>
        <v>4.7683923705722072E-3</v>
      </c>
      <c r="L52" s="1">
        <v>2.1</v>
      </c>
      <c r="M52" s="1"/>
      <c r="N52" s="1"/>
      <c r="O52" s="1"/>
      <c r="P52" s="1"/>
    </row>
    <row r="53" spans="1:16" x14ac:dyDescent="0.2">
      <c r="A53" s="4">
        <v>46085</v>
      </c>
      <c r="B53" s="1" t="s">
        <v>423</v>
      </c>
      <c r="C53" s="1" t="s">
        <v>24</v>
      </c>
      <c r="D53" s="1">
        <v>3868</v>
      </c>
      <c r="E53" s="1" t="s">
        <v>459</v>
      </c>
      <c r="F53" s="1">
        <v>992.2</v>
      </c>
      <c r="G53" s="1">
        <v>250</v>
      </c>
      <c r="H53" s="1">
        <v>89</v>
      </c>
      <c r="I53" s="1"/>
      <c r="J53" s="8">
        <f t="shared" si="1"/>
        <v>22250</v>
      </c>
      <c r="K53" s="27">
        <f t="shared" si="2"/>
        <v>6.4503124370086677E-3</v>
      </c>
      <c r="L53" s="1">
        <v>6.4</v>
      </c>
      <c r="M53" s="1"/>
      <c r="N53" s="1"/>
      <c r="O53" s="1"/>
      <c r="P53" s="1"/>
    </row>
    <row r="54" spans="1:16" x14ac:dyDescent="0.2">
      <c r="A54" s="4">
        <v>46085</v>
      </c>
      <c r="B54" s="1" t="s">
        <v>423</v>
      </c>
      <c r="C54" s="1" t="s">
        <v>27</v>
      </c>
      <c r="D54" s="1">
        <v>3953</v>
      </c>
      <c r="E54" s="1" t="s">
        <v>730</v>
      </c>
      <c r="F54" s="1"/>
      <c r="G54" s="1">
        <v>1000</v>
      </c>
      <c r="H54" s="1">
        <v>26</v>
      </c>
      <c r="I54" s="1">
        <v>600</v>
      </c>
      <c r="J54" s="8">
        <f t="shared" si="1"/>
        <v>26600</v>
      </c>
      <c r="K54" s="27">
        <f t="shared" si="2"/>
        <v>0</v>
      </c>
      <c r="L54" s="1">
        <v>1.8</v>
      </c>
      <c r="M54" s="1"/>
      <c r="N54" s="1"/>
      <c r="O54" s="1"/>
      <c r="P54" s="1"/>
    </row>
    <row r="55" spans="1:16" x14ac:dyDescent="0.2">
      <c r="A55" s="4">
        <v>46085</v>
      </c>
      <c r="B55" s="1" t="s">
        <v>423</v>
      </c>
      <c r="C55" s="1" t="s">
        <v>27</v>
      </c>
      <c r="D55" s="1">
        <v>3774</v>
      </c>
      <c r="E55" s="1" t="s">
        <v>739</v>
      </c>
      <c r="F55" s="1">
        <v>247.5</v>
      </c>
      <c r="G55" s="1">
        <v>2000</v>
      </c>
      <c r="H55" s="1">
        <v>24</v>
      </c>
      <c r="I55" s="1"/>
      <c r="J55" s="8">
        <f t="shared" si="1"/>
        <v>48000</v>
      </c>
      <c r="K55" s="27">
        <f t="shared" si="2"/>
        <v>3.9595959595959601E-2</v>
      </c>
      <c r="L55" s="1">
        <v>9.8000000000000007</v>
      </c>
      <c r="M55" s="1"/>
      <c r="N55" s="1"/>
      <c r="O55" s="1"/>
      <c r="P55" s="1"/>
    </row>
    <row r="56" spans="1:16" x14ac:dyDescent="0.2">
      <c r="A56" s="4">
        <v>46086</v>
      </c>
      <c r="B56" s="1" t="s">
        <v>40</v>
      </c>
      <c r="C56" s="1" t="s">
        <v>24</v>
      </c>
      <c r="D56" s="1">
        <v>3868</v>
      </c>
      <c r="E56" s="1" t="s">
        <v>459</v>
      </c>
      <c r="F56" s="1">
        <v>895.6</v>
      </c>
      <c r="G56" s="1">
        <v>250</v>
      </c>
      <c r="H56" s="1">
        <v>90</v>
      </c>
      <c r="I56" s="1"/>
      <c r="J56" s="8">
        <f t="shared" si="1"/>
        <v>22500</v>
      </c>
      <c r="K56" s="27">
        <f t="shared" si="2"/>
        <v>4.0196516301920504E-3</v>
      </c>
      <c r="L56" s="1">
        <v>3.6</v>
      </c>
      <c r="M56" s="1"/>
      <c r="N56" s="1"/>
      <c r="O56" s="1"/>
      <c r="P56" s="1"/>
    </row>
    <row r="57" spans="1:16" x14ac:dyDescent="0.2">
      <c r="A57" s="4">
        <v>46086</v>
      </c>
      <c r="B57" s="1" t="s">
        <v>40</v>
      </c>
      <c r="C57" s="1" t="s">
        <v>27</v>
      </c>
      <c r="D57" s="1">
        <v>3774</v>
      </c>
      <c r="E57" s="1" t="s">
        <v>739</v>
      </c>
      <c r="F57" s="1">
        <v>95</v>
      </c>
      <c r="G57" s="1">
        <v>2000</v>
      </c>
      <c r="H57" s="1">
        <v>9</v>
      </c>
      <c r="I57" s="1">
        <v>1400</v>
      </c>
      <c r="J57" s="8">
        <f t="shared" si="1"/>
        <v>19400</v>
      </c>
      <c r="K57" s="27">
        <f t="shared" si="2"/>
        <v>1.1578947368421053E-2</v>
      </c>
      <c r="L57" s="1">
        <v>1.1000000000000001</v>
      </c>
      <c r="M57" s="1"/>
      <c r="N57" s="1"/>
      <c r="O57" s="1"/>
      <c r="P57" s="1"/>
    </row>
    <row r="58" spans="1:16" x14ac:dyDescent="0.2">
      <c r="A58" s="4">
        <v>46086</v>
      </c>
      <c r="B58" s="1" t="s">
        <v>40</v>
      </c>
      <c r="C58" s="1" t="s">
        <v>20</v>
      </c>
      <c r="D58" s="1">
        <v>3884</v>
      </c>
      <c r="E58" s="1" t="s">
        <v>198</v>
      </c>
      <c r="F58" s="1">
        <v>53.2</v>
      </c>
      <c r="G58" s="1">
        <v>2000</v>
      </c>
      <c r="H58" s="1">
        <v>3</v>
      </c>
      <c r="I58" s="1"/>
      <c r="J58" s="8">
        <f t="shared" si="1"/>
        <v>6000</v>
      </c>
      <c r="K58" s="27">
        <f t="shared" si="2"/>
        <v>3.7593984962406013E-3</v>
      </c>
      <c r="L58" s="1">
        <v>0.2</v>
      </c>
      <c r="M58" s="1"/>
      <c r="N58" s="1"/>
      <c r="O58" s="1"/>
      <c r="P58" s="1"/>
    </row>
    <row r="59" spans="1:16" x14ac:dyDescent="0.2">
      <c r="A59" s="4">
        <v>46086</v>
      </c>
      <c r="B59" s="1" t="s">
        <v>40</v>
      </c>
      <c r="C59" s="1" t="s">
        <v>20</v>
      </c>
      <c r="D59" s="1">
        <v>3885</v>
      </c>
      <c r="E59" s="1" t="s">
        <v>198</v>
      </c>
      <c r="F59" s="1">
        <v>487.8</v>
      </c>
      <c r="G59" s="1">
        <v>2000</v>
      </c>
      <c r="H59" s="1">
        <v>31</v>
      </c>
      <c r="I59" s="1"/>
      <c r="J59" s="8">
        <f t="shared" si="1"/>
        <v>62000</v>
      </c>
      <c r="K59" s="27">
        <f t="shared" si="2"/>
        <v>2.8700287002870026E-3</v>
      </c>
      <c r="L59" s="1">
        <v>1.4</v>
      </c>
      <c r="M59" s="1"/>
      <c r="N59" s="1"/>
      <c r="O59" s="1"/>
      <c r="P59" s="1"/>
    </row>
    <row r="60" spans="1:16" x14ac:dyDescent="0.2">
      <c r="A60" s="4">
        <v>46086</v>
      </c>
      <c r="B60" s="1" t="s">
        <v>40</v>
      </c>
      <c r="C60" s="1" t="s">
        <v>15</v>
      </c>
      <c r="D60" s="1">
        <v>3584</v>
      </c>
      <c r="E60" s="1" t="s">
        <v>44</v>
      </c>
      <c r="F60" s="1">
        <v>131</v>
      </c>
      <c r="G60" s="1">
        <v>2000</v>
      </c>
      <c r="H60" s="1">
        <v>15</v>
      </c>
      <c r="I60" s="1">
        <v>1300</v>
      </c>
      <c r="J60" s="8">
        <f t="shared" si="1"/>
        <v>31300</v>
      </c>
      <c r="K60" s="27">
        <f t="shared" si="2"/>
        <v>1.5267175572519083E-2</v>
      </c>
      <c r="L60" s="1">
        <v>2</v>
      </c>
      <c r="M60" s="1">
        <v>1.1000000000000001</v>
      </c>
      <c r="N60" s="1"/>
      <c r="O60" s="1"/>
      <c r="P60" s="1"/>
    </row>
    <row r="61" spans="1:16" x14ac:dyDescent="0.2">
      <c r="A61" s="4">
        <v>46086</v>
      </c>
      <c r="B61" s="1" t="s">
        <v>40</v>
      </c>
      <c r="C61" s="1" t="s">
        <v>20</v>
      </c>
      <c r="D61" s="1">
        <v>3962</v>
      </c>
      <c r="E61" s="1" t="s">
        <v>740</v>
      </c>
      <c r="F61" s="1">
        <v>304.10000000000002</v>
      </c>
      <c r="G61" s="1">
        <v>800</v>
      </c>
      <c r="H61" s="1">
        <v>26</v>
      </c>
      <c r="I61" s="1">
        <v>250</v>
      </c>
      <c r="J61" s="8">
        <f t="shared" si="1"/>
        <v>21050</v>
      </c>
      <c r="K61" s="27">
        <f t="shared" si="2"/>
        <v>7.2344623479118709E-3</v>
      </c>
      <c r="L61" s="1">
        <v>2.2000000000000002</v>
      </c>
      <c r="M61" s="1"/>
      <c r="N61" s="1"/>
      <c r="O61" s="1"/>
      <c r="P61" s="1"/>
    </row>
    <row r="62" spans="1:16" x14ac:dyDescent="0.2">
      <c r="A62" s="4">
        <v>46086</v>
      </c>
      <c r="B62" s="1" t="s">
        <v>40</v>
      </c>
      <c r="C62" s="1"/>
      <c r="D62" s="1">
        <v>4029</v>
      </c>
      <c r="E62" s="1" t="s">
        <v>741</v>
      </c>
      <c r="F62" s="1"/>
      <c r="G62" s="1">
        <v>2000</v>
      </c>
      <c r="H62" s="1">
        <v>3</v>
      </c>
      <c r="I62" s="1"/>
      <c r="J62" s="8">
        <f t="shared" si="1"/>
        <v>6000</v>
      </c>
      <c r="K62" s="27">
        <f t="shared" si="2"/>
        <v>0</v>
      </c>
      <c r="L62" s="1"/>
      <c r="M62" s="1"/>
      <c r="N62" s="1"/>
      <c r="O62" s="1"/>
      <c r="P62" s="1"/>
    </row>
    <row r="63" spans="1:16" x14ac:dyDescent="0.2">
      <c r="A63" s="4">
        <v>46086</v>
      </c>
      <c r="B63" s="1" t="s">
        <v>40</v>
      </c>
      <c r="C63" s="1" t="s">
        <v>33</v>
      </c>
      <c r="D63" s="1">
        <v>3873</v>
      </c>
      <c r="E63" s="1" t="s">
        <v>734</v>
      </c>
      <c r="F63" s="1">
        <v>157.1</v>
      </c>
      <c r="G63" s="1">
        <v>1000</v>
      </c>
      <c r="H63" s="1">
        <v>12</v>
      </c>
      <c r="I63" s="1">
        <v>930</v>
      </c>
      <c r="J63" s="8">
        <f t="shared" si="1"/>
        <v>12930</v>
      </c>
      <c r="K63" s="27">
        <f t="shared" si="2"/>
        <v>0</v>
      </c>
      <c r="L63" s="1"/>
      <c r="M63" s="1">
        <v>3</v>
      </c>
      <c r="N63" s="1">
        <v>1.6</v>
      </c>
      <c r="O63" s="1">
        <v>21.9</v>
      </c>
      <c r="P63" s="1"/>
    </row>
    <row r="64" spans="1:16" x14ac:dyDescent="0.2">
      <c r="A64" s="4">
        <v>46086</v>
      </c>
      <c r="B64" s="1" t="s">
        <v>40</v>
      </c>
      <c r="C64" s="1" t="s">
        <v>33</v>
      </c>
      <c r="D64" s="1">
        <v>4007</v>
      </c>
      <c r="E64" s="1" t="s">
        <v>580</v>
      </c>
      <c r="F64" s="1">
        <v>165.3</v>
      </c>
      <c r="G64" s="1">
        <v>500</v>
      </c>
      <c r="H64" s="1">
        <v>19</v>
      </c>
      <c r="I64" s="1">
        <v>450</v>
      </c>
      <c r="J64" s="8">
        <f t="shared" si="1"/>
        <v>9950</v>
      </c>
      <c r="K64" s="27">
        <f t="shared" si="2"/>
        <v>0</v>
      </c>
      <c r="L64" s="1"/>
      <c r="M64" s="1">
        <v>1.4</v>
      </c>
      <c r="N64" s="1"/>
      <c r="O64" s="1">
        <v>21.3</v>
      </c>
      <c r="P64" s="1"/>
    </row>
    <row r="65" spans="1:16" x14ac:dyDescent="0.2">
      <c r="A65" s="4">
        <v>46086</v>
      </c>
      <c r="B65" s="1" t="s">
        <v>40</v>
      </c>
      <c r="C65" s="1" t="s">
        <v>33</v>
      </c>
      <c r="D65" s="1">
        <v>3963</v>
      </c>
      <c r="E65" s="1" t="s">
        <v>742</v>
      </c>
      <c r="F65" s="1">
        <v>224.9</v>
      </c>
      <c r="G65" s="1">
        <v>500</v>
      </c>
      <c r="H65" s="1">
        <v>18</v>
      </c>
      <c r="I65" s="1">
        <v>200</v>
      </c>
      <c r="J65" s="8">
        <f t="shared" si="1"/>
        <v>9200</v>
      </c>
      <c r="K65" s="27">
        <f t="shared" si="2"/>
        <v>7.2614107883817421E-3</v>
      </c>
      <c r="L65" s="1">
        <v>1.4</v>
      </c>
      <c r="M65" s="1">
        <v>2</v>
      </c>
      <c r="N65" s="1">
        <v>2.2999999999999998</v>
      </c>
      <c r="O65" s="1">
        <v>32.1</v>
      </c>
      <c r="P65" s="1"/>
    </row>
    <row r="66" spans="1:16" x14ac:dyDescent="0.2">
      <c r="A66" s="4">
        <v>46086</v>
      </c>
      <c r="B66" s="1" t="s">
        <v>40</v>
      </c>
      <c r="C66" s="1" t="s">
        <v>15</v>
      </c>
      <c r="D66" s="1">
        <v>3882</v>
      </c>
      <c r="E66" s="1" t="s">
        <v>733</v>
      </c>
      <c r="F66" s="1">
        <v>85.8</v>
      </c>
      <c r="G66" s="1">
        <v>700</v>
      </c>
      <c r="H66" s="1">
        <v>8</v>
      </c>
      <c r="I66" s="1"/>
      <c r="J66" s="8">
        <f t="shared" si="1"/>
        <v>5600</v>
      </c>
      <c r="K66" s="27">
        <f t="shared" si="2"/>
        <v>8.1585081585081581E-3</v>
      </c>
      <c r="L66" s="1">
        <v>0.7</v>
      </c>
      <c r="M66" s="1"/>
      <c r="N66" s="1"/>
      <c r="O66" s="1"/>
      <c r="P66" s="1"/>
    </row>
    <row r="67" spans="1:16" x14ac:dyDescent="0.2">
      <c r="A67" s="4">
        <v>46086</v>
      </c>
      <c r="B67" s="1" t="s">
        <v>40</v>
      </c>
      <c r="C67" s="1" t="s">
        <v>15</v>
      </c>
      <c r="D67" s="1">
        <v>3892</v>
      </c>
      <c r="E67" s="1" t="s">
        <v>242</v>
      </c>
      <c r="F67" s="1">
        <v>97.4</v>
      </c>
      <c r="G67" s="1">
        <v>2000</v>
      </c>
      <c r="H67" s="1">
        <v>10</v>
      </c>
      <c r="I67" s="1"/>
      <c r="J67" s="8">
        <f t="shared" ref="J67:J130" si="3">G67*H67+I67</f>
        <v>20000</v>
      </c>
      <c r="K67" s="27">
        <f t="shared" si="2"/>
        <v>1.2320328542094455E-2</v>
      </c>
      <c r="L67" s="1">
        <v>1.2</v>
      </c>
      <c r="M67" s="1"/>
      <c r="N67" s="1">
        <v>0.7</v>
      </c>
      <c r="O67" s="1"/>
      <c r="P67" s="1"/>
    </row>
    <row r="68" spans="1:16" x14ac:dyDescent="0.2">
      <c r="A68" s="4">
        <v>46086</v>
      </c>
      <c r="B68" s="1" t="s">
        <v>40</v>
      </c>
      <c r="C68" s="1" t="s">
        <v>15</v>
      </c>
      <c r="D68" s="1">
        <v>3926</v>
      </c>
      <c r="E68" s="1" t="s">
        <v>743</v>
      </c>
      <c r="F68" s="1">
        <v>92.3</v>
      </c>
      <c r="G68" s="1">
        <v>1000</v>
      </c>
      <c r="H68" s="1">
        <v>5</v>
      </c>
      <c r="I68" s="1"/>
      <c r="J68" s="8">
        <f t="shared" si="3"/>
        <v>5000</v>
      </c>
      <c r="K68" s="27">
        <f t="shared" si="2"/>
        <v>4.3336944745395456E-3</v>
      </c>
      <c r="L68" s="1">
        <v>0.4</v>
      </c>
      <c r="M68" s="1"/>
      <c r="N68" s="1"/>
      <c r="O68" s="1"/>
      <c r="P68" s="1"/>
    </row>
    <row r="69" spans="1:16" x14ac:dyDescent="0.2">
      <c r="A69" s="4">
        <v>46086</v>
      </c>
      <c r="B69" s="1" t="s">
        <v>40</v>
      </c>
      <c r="C69" s="1" t="s">
        <v>15</v>
      </c>
      <c r="D69" s="1">
        <v>3926</v>
      </c>
      <c r="E69" s="1" t="s">
        <v>744</v>
      </c>
      <c r="F69" s="1">
        <v>45.7</v>
      </c>
      <c r="G69" s="1">
        <v>1000</v>
      </c>
      <c r="H69" s="1">
        <v>4</v>
      </c>
      <c r="I69" s="1"/>
      <c r="J69" s="8">
        <f t="shared" si="3"/>
        <v>4000</v>
      </c>
      <c r="K69" s="27">
        <f t="shared" si="2"/>
        <v>1.3129102844638949E-2</v>
      </c>
      <c r="L69" s="1">
        <v>0.6</v>
      </c>
      <c r="M69" s="1"/>
      <c r="N69" s="1"/>
      <c r="O69" s="1"/>
      <c r="P69" s="1"/>
    </row>
    <row r="70" spans="1:16" x14ac:dyDescent="0.2">
      <c r="A70" s="4">
        <v>46086</v>
      </c>
      <c r="B70" s="1" t="s">
        <v>40</v>
      </c>
      <c r="C70" s="1" t="s">
        <v>33</v>
      </c>
      <c r="D70" s="1">
        <v>3722</v>
      </c>
      <c r="E70" s="1" t="s">
        <v>745</v>
      </c>
      <c r="F70" s="1">
        <v>101</v>
      </c>
      <c r="G70" s="1">
        <v>500</v>
      </c>
      <c r="H70" s="1">
        <v>7</v>
      </c>
      <c r="I70" s="1"/>
      <c r="J70" s="8">
        <f t="shared" si="3"/>
        <v>3500</v>
      </c>
      <c r="K70" s="27">
        <f t="shared" si="2"/>
        <v>1.5909090909090907E-2</v>
      </c>
      <c r="L70" s="1">
        <v>1.4</v>
      </c>
      <c r="M70" s="1">
        <v>1.5</v>
      </c>
      <c r="N70" s="1"/>
      <c r="O70" s="1">
        <v>13</v>
      </c>
      <c r="P70" s="1"/>
    </row>
    <row r="71" spans="1:16" x14ac:dyDescent="0.2">
      <c r="A71" s="4">
        <v>46086</v>
      </c>
      <c r="B71" s="1" t="s">
        <v>40</v>
      </c>
      <c r="C71" s="1" t="s">
        <v>27</v>
      </c>
      <c r="D71" s="1">
        <v>3773</v>
      </c>
      <c r="E71" s="1" t="s">
        <v>746</v>
      </c>
      <c r="F71" s="1">
        <v>211.5</v>
      </c>
      <c r="G71" s="1">
        <v>1000</v>
      </c>
      <c r="H71" s="1">
        <v>57</v>
      </c>
      <c r="I71" s="1"/>
      <c r="J71" s="8">
        <f t="shared" si="3"/>
        <v>57000</v>
      </c>
      <c r="K71" s="27">
        <f t="shared" si="2"/>
        <v>0</v>
      </c>
      <c r="L71" s="1"/>
      <c r="M71" s="1">
        <v>3.5</v>
      </c>
      <c r="N71" s="1"/>
      <c r="O71" s="1"/>
      <c r="P71" s="1"/>
    </row>
    <row r="72" spans="1:16" x14ac:dyDescent="0.2">
      <c r="A72" s="4">
        <v>46086</v>
      </c>
      <c r="B72" s="1" t="s">
        <v>40</v>
      </c>
      <c r="C72" s="1" t="s">
        <v>20</v>
      </c>
      <c r="D72" s="1">
        <v>3906</v>
      </c>
      <c r="E72" s="1" t="s">
        <v>320</v>
      </c>
      <c r="F72" s="1">
        <v>42</v>
      </c>
      <c r="G72" s="1">
        <v>6000</v>
      </c>
      <c r="H72" s="1">
        <v>2</v>
      </c>
      <c r="I72" s="1"/>
      <c r="J72" s="8">
        <f t="shared" si="3"/>
        <v>12000</v>
      </c>
      <c r="K72" s="27">
        <f t="shared" si="2"/>
        <v>1.6666666666666666E-2</v>
      </c>
      <c r="L72" s="1">
        <v>0.7</v>
      </c>
      <c r="M72" s="1"/>
      <c r="N72" s="1"/>
      <c r="O72" s="1"/>
      <c r="P72" s="1"/>
    </row>
    <row r="73" spans="1:16" x14ac:dyDescent="0.2">
      <c r="A73" s="4">
        <v>46087</v>
      </c>
      <c r="B73" s="1" t="s">
        <v>54</v>
      </c>
      <c r="C73" s="1" t="s">
        <v>15</v>
      </c>
      <c r="D73" s="1">
        <v>3926</v>
      </c>
      <c r="E73" s="1" t="s">
        <v>744</v>
      </c>
      <c r="F73" s="1">
        <v>144.9</v>
      </c>
      <c r="G73" s="1">
        <v>1000</v>
      </c>
      <c r="H73" s="1">
        <v>14</v>
      </c>
      <c r="I73" s="1">
        <v>980</v>
      </c>
      <c r="J73" s="8">
        <f t="shared" si="3"/>
        <v>14980</v>
      </c>
      <c r="K73" s="27">
        <f t="shared" si="2"/>
        <v>2.0703933747412005E-3</v>
      </c>
      <c r="L73" s="1">
        <v>0.3</v>
      </c>
      <c r="M73" s="1"/>
      <c r="N73" s="1"/>
      <c r="O73" s="1"/>
      <c r="P73" s="1"/>
    </row>
    <row r="74" spans="1:16" x14ac:dyDescent="0.2">
      <c r="A74" s="4">
        <v>46087</v>
      </c>
      <c r="B74" s="1" t="s">
        <v>54</v>
      </c>
      <c r="C74" s="1" t="s">
        <v>20</v>
      </c>
      <c r="D74" s="1">
        <v>3906</v>
      </c>
      <c r="E74" s="1" t="s">
        <v>320</v>
      </c>
      <c r="F74" s="1">
        <v>162</v>
      </c>
      <c r="G74" s="1">
        <v>6000</v>
      </c>
      <c r="H74" s="1">
        <v>14</v>
      </c>
      <c r="I74" s="1">
        <v>2800</v>
      </c>
      <c r="J74" s="8">
        <f t="shared" si="3"/>
        <v>86800</v>
      </c>
      <c r="K74" s="27">
        <f t="shared" si="2"/>
        <v>8.6419753086419745E-3</v>
      </c>
      <c r="L74" s="1">
        <v>1.4</v>
      </c>
      <c r="M74" s="1"/>
      <c r="N74" s="1"/>
      <c r="O74" s="1"/>
      <c r="P74" s="1"/>
    </row>
    <row r="75" spans="1:16" x14ac:dyDescent="0.2">
      <c r="A75" s="4">
        <v>46087</v>
      </c>
      <c r="B75" s="1" t="s">
        <v>54</v>
      </c>
      <c r="C75" s="1" t="s">
        <v>33</v>
      </c>
      <c r="D75" s="1">
        <v>3722</v>
      </c>
      <c r="E75" s="1" t="s">
        <v>745</v>
      </c>
      <c r="F75" s="1">
        <v>1390.9</v>
      </c>
      <c r="G75" s="1">
        <v>500</v>
      </c>
      <c r="H75" s="1">
        <v>97</v>
      </c>
      <c r="I75" s="1"/>
      <c r="J75" s="8">
        <f t="shared" si="3"/>
        <v>48500</v>
      </c>
      <c r="K75" s="27">
        <f t="shared" si="2"/>
        <v>3.1169904919388178E-2</v>
      </c>
      <c r="L75" s="1">
        <v>37.700000000000003</v>
      </c>
      <c r="M75" s="1">
        <v>16</v>
      </c>
      <c r="N75" s="1">
        <v>11</v>
      </c>
      <c r="O75" s="1">
        <v>181.4</v>
      </c>
      <c r="P75" s="1"/>
    </row>
    <row r="76" spans="1:16" x14ac:dyDescent="0.2">
      <c r="A76" s="4">
        <v>46087</v>
      </c>
      <c r="B76" s="1" t="s">
        <v>54</v>
      </c>
      <c r="C76" s="1" t="s">
        <v>24</v>
      </c>
      <c r="D76" s="1">
        <v>3868</v>
      </c>
      <c r="E76" s="1" t="s">
        <v>459</v>
      </c>
      <c r="F76" s="1">
        <v>593</v>
      </c>
      <c r="G76" s="1">
        <v>250</v>
      </c>
      <c r="H76" s="1">
        <v>40</v>
      </c>
      <c r="I76" s="1"/>
      <c r="J76" s="8">
        <f t="shared" si="3"/>
        <v>10000</v>
      </c>
      <c r="K76" s="27">
        <f t="shared" si="2"/>
        <v>4.2158516020236085E-3</v>
      </c>
      <c r="L76" s="1">
        <v>2.5</v>
      </c>
      <c r="M76" s="1"/>
      <c r="N76" s="1"/>
      <c r="O76" s="1"/>
      <c r="P76" s="1"/>
    </row>
    <row r="77" spans="1:16" x14ac:dyDescent="0.2">
      <c r="A77" s="4">
        <v>46087</v>
      </c>
      <c r="B77" s="1" t="s">
        <v>54</v>
      </c>
      <c r="C77" s="1" t="s">
        <v>27</v>
      </c>
      <c r="D77" s="1">
        <v>3773</v>
      </c>
      <c r="E77" s="1" t="s">
        <v>746</v>
      </c>
      <c r="F77" s="1">
        <v>270</v>
      </c>
      <c r="G77" s="1">
        <v>1000</v>
      </c>
      <c r="H77" s="1">
        <v>72</v>
      </c>
      <c r="I77" s="1"/>
      <c r="J77" s="8">
        <f t="shared" si="3"/>
        <v>72000</v>
      </c>
      <c r="K77" s="27">
        <f t="shared" si="2"/>
        <v>1.740740740740741E-2</v>
      </c>
      <c r="L77" s="1">
        <v>4.7</v>
      </c>
      <c r="M77" s="1"/>
      <c r="N77" s="1"/>
      <c r="O77" s="1"/>
      <c r="P77" s="1"/>
    </row>
    <row r="78" spans="1:16" x14ac:dyDescent="0.2">
      <c r="A78" s="4">
        <v>46087</v>
      </c>
      <c r="B78" s="1" t="s">
        <v>54</v>
      </c>
      <c r="C78" s="1" t="s">
        <v>15</v>
      </c>
      <c r="D78" s="1">
        <v>3635</v>
      </c>
      <c r="E78" s="1" t="s">
        <v>747</v>
      </c>
      <c r="F78" s="1">
        <v>720</v>
      </c>
      <c r="G78" s="1">
        <v>200</v>
      </c>
      <c r="H78" s="1">
        <v>55</v>
      </c>
      <c r="I78" s="1"/>
      <c r="J78" s="8">
        <f t="shared" si="3"/>
        <v>11000</v>
      </c>
      <c r="K78" s="27">
        <f t="shared" si="2"/>
        <v>2.2222222222222223E-2</v>
      </c>
      <c r="L78" s="1">
        <v>16</v>
      </c>
      <c r="M78" s="1"/>
      <c r="N78" s="1"/>
      <c r="O78" s="1"/>
      <c r="P78" s="1"/>
    </row>
    <row r="79" spans="1:16" x14ac:dyDescent="0.2">
      <c r="A79" s="4">
        <v>46087</v>
      </c>
      <c r="B79" s="1" t="s">
        <v>54</v>
      </c>
      <c r="C79" s="1" t="s">
        <v>20</v>
      </c>
      <c r="D79" s="1">
        <v>3933</v>
      </c>
      <c r="E79" s="1" t="s">
        <v>748</v>
      </c>
      <c r="F79" s="1">
        <v>173.8</v>
      </c>
      <c r="G79" s="1">
        <v>1000</v>
      </c>
      <c r="H79" s="1">
        <v>18</v>
      </c>
      <c r="I79" s="1">
        <v>1200</v>
      </c>
      <c r="J79" s="8">
        <f t="shared" si="3"/>
        <v>19200</v>
      </c>
      <c r="K79" s="27">
        <f t="shared" si="2"/>
        <v>5.1783659378596084E-3</v>
      </c>
      <c r="L79" s="1">
        <v>0.9</v>
      </c>
      <c r="M79" s="1"/>
      <c r="N79" s="1"/>
      <c r="O79" s="1"/>
      <c r="P79" s="1"/>
    </row>
    <row r="80" spans="1:16" x14ac:dyDescent="0.2">
      <c r="A80" s="4">
        <v>46087</v>
      </c>
      <c r="B80" s="1" t="s">
        <v>54</v>
      </c>
      <c r="C80" s="1" t="s">
        <v>24</v>
      </c>
      <c r="D80" s="1">
        <v>3634</v>
      </c>
      <c r="E80" s="1" t="s">
        <v>749</v>
      </c>
      <c r="F80" s="1">
        <v>210.5</v>
      </c>
      <c r="G80" s="1">
        <v>500</v>
      </c>
      <c r="H80" s="1">
        <v>18</v>
      </c>
      <c r="I80" s="1"/>
      <c r="J80" s="8">
        <f t="shared" si="3"/>
        <v>9000</v>
      </c>
      <c r="K80" s="27">
        <f t="shared" si="2"/>
        <v>1.9002375296912115E-2</v>
      </c>
      <c r="L80" s="1">
        <v>4</v>
      </c>
      <c r="M80" s="1"/>
      <c r="N80" s="1">
        <v>2.5</v>
      </c>
      <c r="O80" s="1"/>
      <c r="P80" s="1"/>
    </row>
    <row r="81" spans="1:16" x14ac:dyDescent="0.2">
      <c r="A81" s="4">
        <v>46087</v>
      </c>
      <c r="B81" s="1" t="s">
        <v>54</v>
      </c>
      <c r="C81" s="1"/>
      <c r="D81" s="1">
        <v>4029</v>
      </c>
      <c r="E81" s="1" t="s">
        <v>750</v>
      </c>
      <c r="F81" s="1">
        <v>50</v>
      </c>
      <c r="G81" s="1">
        <v>2000</v>
      </c>
      <c r="H81" s="1">
        <v>6</v>
      </c>
      <c r="I81" s="1"/>
      <c r="J81" s="8">
        <f t="shared" si="3"/>
        <v>12000</v>
      </c>
      <c r="K81" s="27">
        <f t="shared" si="2"/>
        <v>0.17600000000000002</v>
      </c>
      <c r="L81" s="1">
        <v>8.8000000000000007</v>
      </c>
      <c r="M81" s="1"/>
      <c r="N81" s="1"/>
      <c r="O81" s="1"/>
      <c r="P81" s="1"/>
    </row>
    <row r="82" spans="1:16" x14ac:dyDescent="0.2">
      <c r="A82" s="4">
        <v>46087</v>
      </c>
      <c r="B82" s="1" t="s">
        <v>54</v>
      </c>
      <c r="C82" s="1" t="s">
        <v>33</v>
      </c>
      <c r="D82" s="1">
        <v>3883</v>
      </c>
      <c r="E82" s="1" t="s">
        <v>676</v>
      </c>
      <c r="F82" s="1">
        <v>89</v>
      </c>
      <c r="G82" s="1">
        <v>400</v>
      </c>
      <c r="H82" s="1">
        <v>4</v>
      </c>
      <c r="I82" s="1">
        <v>239</v>
      </c>
      <c r="J82" s="8">
        <f t="shared" si="3"/>
        <v>1839</v>
      </c>
      <c r="K82" s="27">
        <f t="shared" si="2"/>
        <v>2.6582278481012658E-2</v>
      </c>
      <c r="L82" s="1">
        <v>2.1</v>
      </c>
      <c r="M82" s="1"/>
      <c r="N82" s="1"/>
      <c r="O82" s="1">
        <v>10</v>
      </c>
      <c r="P82" s="1"/>
    </row>
    <row r="83" spans="1:16" x14ac:dyDescent="0.2">
      <c r="A83" s="4">
        <v>46087</v>
      </c>
      <c r="B83" s="1" t="s">
        <v>54</v>
      </c>
      <c r="C83" s="1" t="s">
        <v>33</v>
      </c>
      <c r="D83" s="1">
        <v>3897</v>
      </c>
      <c r="E83" s="1" t="s">
        <v>58</v>
      </c>
      <c r="F83" s="1">
        <v>552.9</v>
      </c>
      <c r="G83" s="1">
        <v>500</v>
      </c>
      <c r="H83" s="1">
        <v>38</v>
      </c>
      <c r="I83" s="1"/>
      <c r="J83" s="8">
        <f t="shared" si="3"/>
        <v>19000</v>
      </c>
      <c r="K83" s="27">
        <f t="shared" si="2"/>
        <v>1.0772357723577236E-2</v>
      </c>
      <c r="L83" s="1">
        <v>5.3</v>
      </c>
      <c r="M83" s="1">
        <v>7.3</v>
      </c>
      <c r="N83" s="1"/>
      <c r="O83" s="1">
        <v>60.9</v>
      </c>
      <c r="P83" s="1"/>
    </row>
    <row r="84" spans="1:16" x14ac:dyDescent="0.2">
      <c r="A84" s="4">
        <v>46087</v>
      </c>
      <c r="B84" s="1" t="s">
        <v>54</v>
      </c>
      <c r="C84" s="1" t="s">
        <v>33</v>
      </c>
      <c r="D84" s="1">
        <v>3841</v>
      </c>
      <c r="E84" s="1" t="s">
        <v>751</v>
      </c>
      <c r="F84" s="1">
        <v>100.5</v>
      </c>
      <c r="G84" s="1">
        <v>500</v>
      </c>
      <c r="H84" s="1">
        <v>8</v>
      </c>
      <c r="I84" s="1">
        <v>248</v>
      </c>
      <c r="J84" s="8">
        <f t="shared" si="3"/>
        <v>4248</v>
      </c>
      <c r="K84" s="27">
        <f t="shared" si="2"/>
        <v>0.87155963302752293</v>
      </c>
      <c r="L84" s="1">
        <v>76</v>
      </c>
      <c r="M84" s="1"/>
      <c r="N84" s="1"/>
      <c r="O84" s="1">
        <v>13.3</v>
      </c>
      <c r="P84" s="1"/>
    </row>
    <row r="85" spans="1:16" x14ac:dyDescent="0.2">
      <c r="A85" s="4">
        <v>46087</v>
      </c>
      <c r="B85" s="1" t="s">
        <v>54</v>
      </c>
      <c r="C85" s="1" t="s">
        <v>15</v>
      </c>
      <c r="D85" s="1">
        <v>3861</v>
      </c>
      <c r="E85" s="1" t="s">
        <v>132</v>
      </c>
      <c r="F85" s="1">
        <v>73</v>
      </c>
      <c r="G85" s="1">
        <v>500</v>
      </c>
      <c r="H85" s="1">
        <v>7</v>
      </c>
      <c r="I85" s="1"/>
      <c r="J85" s="8">
        <f t="shared" si="3"/>
        <v>3500</v>
      </c>
      <c r="K85" s="27">
        <f t="shared" si="2"/>
        <v>1.3698630136986301E-2</v>
      </c>
      <c r="L85" s="1">
        <v>1</v>
      </c>
      <c r="M85" s="1"/>
      <c r="N85" s="1"/>
      <c r="O85" s="1"/>
      <c r="P85" s="1"/>
    </row>
    <row r="86" spans="1:16" x14ac:dyDescent="0.2">
      <c r="A86" s="4">
        <v>46087</v>
      </c>
      <c r="B86" s="1" t="s">
        <v>54</v>
      </c>
      <c r="C86" s="1" t="s">
        <v>20</v>
      </c>
      <c r="D86" s="1">
        <v>3957</v>
      </c>
      <c r="E86" s="1" t="s">
        <v>752</v>
      </c>
      <c r="F86" s="1">
        <v>91.4</v>
      </c>
      <c r="G86" s="1">
        <v>2000</v>
      </c>
      <c r="H86" s="1">
        <v>11</v>
      </c>
      <c r="I86" s="1"/>
      <c r="J86" s="8">
        <f t="shared" si="3"/>
        <v>22000</v>
      </c>
      <c r="K86" s="27">
        <f t="shared" si="2"/>
        <v>1.2035010940919038E-2</v>
      </c>
      <c r="L86" s="1">
        <v>1.1000000000000001</v>
      </c>
      <c r="M86" s="1"/>
      <c r="N86" s="1"/>
      <c r="O86" s="1"/>
      <c r="P86" s="1"/>
    </row>
    <row r="87" spans="1:16" x14ac:dyDescent="0.2">
      <c r="A87" s="4">
        <v>46088</v>
      </c>
      <c r="B87" s="1" t="s">
        <v>753</v>
      </c>
      <c r="C87" s="1" t="s">
        <v>15</v>
      </c>
      <c r="D87" s="1">
        <v>3861</v>
      </c>
      <c r="E87" s="1" t="s">
        <v>132</v>
      </c>
      <c r="F87" s="1">
        <v>209.8</v>
      </c>
      <c r="G87" s="1">
        <v>500</v>
      </c>
      <c r="H87" s="1">
        <v>15</v>
      </c>
      <c r="I87" s="1">
        <v>550</v>
      </c>
      <c r="J87" s="8">
        <f t="shared" si="3"/>
        <v>8050</v>
      </c>
      <c r="K87" s="27">
        <f t="shared" si="2"/>
        <v>5.2430886558627269E-3</v>
      </c>
      <c r="L87" s="1">
        <v>1.1000000000000001</v>
      </c>
      <c r="M87" s="1"/>
      <c r="N87" s="1"/>
      <c r="O87" s="1"/>
      <c r="P87" s="1"/>
    </row>
    <row r="88" spans="1:16" x14ac:dyDescent="0.2">
      <c r="A88" s="4">
        <v>46088</v>
      </c>
      <c r="B88" s="1" t="s">
        <v>753</v>
      </c>
      <c r="C88" s="1" t="s">
        <v>20</v>
      </c>
      <c r="D88" s="1">
        <v>3957</v>
      </c>
      <c r="E88" s="1" t="s">
        <v>752</v>
      </c>
      <c r="F88" s="1">
        <v>47.3</v>
      </c>
      <c r="G88" s="1">
        <v>2000</v>
      </c>
      <c r="H88" s="1">
        <v>1</v>
      </c>
      <c r="I88" s="1">
        <v>2095</v>
      </c>
      <c r="J88" s="8">
        <f t="shared" si="3"/>
        <v>4095</v>
      </c>
      <c r="K88" s="27">
        <f t="shared" si="2"/>
        <v>0</v>
      </c>
      <c r="L88" s="1"/>
      <c r="M88" s="1"/>
      <c r="N88" s="1"/>
      <c r="O88" s="1"/>
      <c r="P88" s="1"/>
    </row>
    <row r="89" spans="1:16" x14ac:dyDescent="0.2">
      <c r="A89" s="4">
        <v>46088</v>
      </c>
      <c r="B89" s="1" t="s">
        <v>753</v>
      </c>
      <c r="C89" s="1" t="s">
        <v>33</v>
      </c>
      <c r="D89" s="1">
        <v>3897</v>
      </c>
      <c r="E89" s="1" t="s">
        <v>58</v>
      </c>
      <c r="F89" s="1">
        <v>585.29999999999995</v>
      </c>
      <c r="G89" s="1">
        <v>500</v>
      </c>
      <c r="H89" s="1">
        <v>40</v>
      </c>
      <c r="I89" s="1">
        <v>350</v>
      </c>
      <c r="J89" s="8">
        <f t="shared" si="3"/>
        <v>20350</v>
      </c>
      <c r="K89" s="27">
        <f t="shared" si="2"/>
        <v>2.8182515337423317E-2</v>
      </c>
      <c r="L89" s="1">
        <v>14.7</v>
      </c>
      <c r="M89" s="1">
        <v>14.3</v>
      </c>
      <c r="N89" s="1"/>
      <c r="O89" s="1">
        <v>63.7</v>
      </c>
      <c r="P89" s="1"/>
    </row>
    <row r="90" spans="1:16" x14ac:dyDescent="0.2">
      <c r="A90" s="4">
        <v>46088</v>
      </c>
      <c r="B90" s="1" t="s">
        <v>753</v>
      </c>
      <c r="C90" s="1" t="s">
        <v>24</v>
      </c>
      <c r="D90" s="1">
        <v>3634</v>
      </c>
      <c r="E90" s="1" t="s">
        <v>749</v>
      </c>
      <c r="F90" s="1">
        <v>153.6</v>
      </c>
      <c r="G90" s="1">
        <v>500</v>
      </c>
      <c r="H90" s="1">
        <v>14</v>
      </c>
      <c r="I90" s="1">
        <v>450</v>
      </c>
      <c r="J90" s="8">
        <f t="shared" si="3"/>
        <v>7450</v>
      </c>
      <c r="K90" s="27">
        <f t="shared" si="2"/>
        <v>1.953125E-2</v>
      </c>
      <c r="L90" s="1">
        <v>3</v>
      </c>
      <c r="M90" s="1">
        <v>3.3</v>
      </c>
      <c r="N90" s="1">
        <v>3.3</v>
      </c>
      <c r="O90" s="1"/>
      <c r="P90" s="1"/>
    </row>
    <row r="91" spans="1:16" x14ac:dyDescent="0.2">
      <c r="A91" s="4">
        <v>46088</v>
      </c>
      <c r="B91" s="1" t="s">
        <v>753</v>
      </c>
      <c r="C91" s="1" t="s">
        <v>27</v>
      </c>
      <c r="D91" s="1">
        <v>3773</v>
      </c>
      <c r="E91" s="1" t="s">
        <v>746</v>
      </c>
      <c r="F91" s="1">
        <v>213</v>
      </c>
      <c r="G91" s="1">
        <v>1000</v>
      </c>
      <c r="H91" s="1">
        <v>66</v>
      </c>
      <c r="I91" s="1"/>
      <c r="J91" s="8">
        <f t="shared" si="3"/>
        <v>66000</v>
      </c>
      <c r="K91" s="27">
        <f t="shared" si="2"/>
        <v>0</v>
      </c>
      <c r="L91" s="1"/>
      <c r="M91" s="1">
        <v>2.2999999999999998</v>
      </c>
      <c r="N91" s="1"/>
      <c r="O91" s="1"/>
      <c r="P91" s="1"/>
    </row>
    <row r="92" spans="1:16" x14ac:dyDescent="0.2">
      <c r="A92" s="4">
        <v>46088</v>
      </c>
      <c r="B92" s="1" t="s">
        <v>753</v>
      </c>
      <c r="C92" s="1" t="s">
        <v>15</v>
      </c>
      <c r="D92" s="1">
        <v>3944</v>
      </c>
      <c r="E92" s="1" t="s">
        <v>754</v>
      </c>
      <c r="F92" s="1">
        <v>102</v>
      </c>
      <c r="G92" s="1">
        <v>250</v>
      </c>
      <c r="H92" s="1">
        <v>7</v>
      </c>
      <c r="I92" s="1">
        <v>100</v>
      </c>
      <c r="J92" s="8">
        <f t="shared" si="3"/>
        <v>1850</v>
      </c>
      <c r="K92" s="27">
        <f t="shared" si="2"/>
        <v>2.9411764705882353E-2</v>
      </c>
      <c r="L92" s="1">
        <v>3</v>
      </c>
      <c r="M92" s="1"/>
      <c r="N92" s="1"/>
      <c r="O92" s="1"/>
      <c r="P92" s="1"/>
    </row>
    <row r="93" spans="1:16" x14ac:dyDescent="0.2">
      <c r="A93" s="4">
        <v>46088</v>
      </c>
      <c r="B93" s="1" t="s">
        <v>753</v>
      </c>
      <c r="C93" s="1" t="s">
        <v>15</v>
      </c>
      <c r="D93" s="1">
        <v>3698</v>
      </c>
      <c r="E93" s="1" t="s">
        <v>755</v>
      </c>
      <c r="F93" s="1">
        <v>675.1</v>
      </c>
      <c r="G93" s="1">
        <v>250</v>
      </c>
      <c r="H93" s="1">
        <v>48</v>
      </c>
      <c r="I93" s="1"/>
      <c r="J93" s="8">
        <f t="shared" si="3"/>
        <v>12000</v>
      </c>
      <c r="K93" s="27">
        <f t="shared" si="2"/>
        <v>1.1850096282032291E-2</v>
      </c>
      <c r="L93" s="1">
        <v>8</v>
      </c>
      <c r="M93" s="1"/>
      <c r="N93" s="1"/>
      <c r="O93" s="1"/>
      <c r="P93" s="1"/>
    </row>
    <row r="94" spans="1:16" x14ac:dyDescent="0.2">
      <c r="A94" s="4">
        <v>46088</v>
      </c>
      <c r="B94" s="1" t="s">
        <v>753</v>
      </c>
      <c r="C94" s="1" t="s">
        <v>24</v>
      </c>
      <c r="D94" s="1">
        <v>3756</v>
      </c>
      <c r="E94" s="1" t="s">
        <v>756</v>
      </c>
      <c r="F94" s="1">
        <v>210.7</v>
      </c>
      <c r="G94" s="1">
        <v>500</v>
      </c>
      <c r="H94" s="1">
        <v>12</v>
      </c>
      <c r="I94" s="1">
        <v>150</v>
      </c>
      <c r="J94" s="8">
        <f t="shared" si="3"/>
        <v>6150</v>
      </c>
      <c r="K94" s="27">
        <f t="shared" si="2"/>
        <v>7.1665875652586614E-2</v>
      </c>
      <c r="L94" s="1">
        <v>15.1</v>
      </c>
      <c r="M94" s="1"/>
      <c r="N94" s="1">
        <v>1.3</v>
      </c>
      <c r="O94" s="1"/>
      <c r="P94" s="1"/>
    </row>
    <row r="95" spans="1:16" x14ac:dyDescent="0.2">
      <c r="A95" s="4">
        <v>46088</v>
      </c>
      <c r="B95" s="1" t="s">
        <v>753</v>
      </c>
      <c r="C95" s="1" t="s">
        <v>20</v>
      </c>
      <c r="D95" s="1">
        <v>3928</v>
      </c>
      <c r="E95" s="1" t="s">
        <v>757</v>
      </c>
      <c r="F95" s="1">
        <v>154</v>
      </c>
      <c r="G95" s="1">
        <v>1600</v>
      </c>
      <c r="H95" s="1">
        <v>12</v>
      </c>
      <c r="I95" s="1">
        <v>1750</v>
      </c>
      <c r="J95" s="8">
        <f t="shared" si="3"/>
        <v>20950</v>
      </c>
      <c r="K95" s="27">
        <f t="shared" si="2"/>
        <v>0</v>
      </c>
      <c r="L95" s="1"/>
      <c r="M95" s="1"/>
      <c r="N95" s="1"/>
      <c r="O95" s="1"/>
      <c r="P95" s="1"/>
    </row>
    <row r="96" spans="1:16" x14ac:dyDescent="0.2">
      <c r="A96" s="4">
        <v>46088</v>
      </c>
      <c r="B96" s="1" t="s">
        <v>753</v>
      </c>
      <c r="C96" s="1" t="s">
        <v>20</v>
      </c>
      <c r="D96" s="1">
        <v>3791</v>
      </c>
      <c r="E96" s="1" t="s">
        <v>633</v>
      </c>
      <c r="F96" s="1">
        <v>707</v>
      </c>
      <c r="G96" s="1">
        <v>300</v>
      </c>
      <c r="H96" s="1">
        <v>65</v>
      </c>
      <c r="I96" s="1">
        <v>125</v>
      </c>
      <c r="J96" s="8">
        <f t="shared" si="3"/>
        <v>19625</v>
      </c>
      <c r="K96" s="27">
        <f t="shared" si="2"/>
        <v>6.5063649222065062E-3</v>
      </c>
      <c r="L96" s="1">
        <v>4.5999999999999996</v>
      </c>
      <c r="M96" s="1">
        <v>5.3</v>
      </c>
      <c r="N96" s="1"/>
      <c r="O96" s="1"/>
      <c r="P96" s="1"/>
    </row>
    <row r="97" spans="1:16" x14ac:dyDescent="0.2">
      <c r="A97" s="4">
        <v>46088</v>
      </c>
      <c r="B97" s="1" t="s">
        <v>753</v>
      </c>
      <c r="C97" s="1" t="s">
        <v>24</v>
      </c>
      <c r="D97" s="1">
        <v>3785</v>
      </c>
      <c r="E97" s="1" t="s">
        <v>758</v>
      </c>
      <c r="F97" s="1">
        <v>120</v>
      </c>
      <c r="G97" s="1">
        <v>500</v>
      </c>
      <c r="H97" s="1">
        <v>14</v>
      </c>
      <c r="I97" s="1">
        <v>290</v>
      </c>
      <c r="J97" s="8">
        <f t="shared" si="3"/>
        <v>7290</v>
      </c>
      <c r="K97" s="27">
        <f t="shared" si="2"/>
        <v>6.5833333333333341E-2</v>
      </c>
      <c r="L97" s="1">
        <v>7.9</v>
      </c>
      <c r="M97" s="1">
        <v>0.7</v>
      </c>
      <c r="N97" s="1"/>
      <c r="O97" s="1"/>
      <c r="P97" s="1"/>
    </row>
    <row r="98" spans="1:16" x14ac:dyDescent="0.2">
      <c r="A98" s="4">
        <v>46088</v>
      </c>
      <c r="B98" s="1" t="s">
        <v>753</v>
      </c>
      <c r="C98" s="1" t="s">
        <v>24</v>
      </c>
      <c r="D98" s="1">
        <v>3784</v>
      </c>
      <c r="E98" s="1" t="s">
        <v>759</v>
      </c>
      <c r="F98" s="1">
        <v>100</v>
      </c>
      <c r="G98" s="1">
        <v>500</v>
      </c>
      <c r="H98" s="1">
        <v>8</v>
      </c>
      <c r="I98" s="1">
        <v>3.3</v>
      </c>
      <c r="J98" s="8">
        <f t="shared" si="3"/>
        <v>4003.3</v>
      </c>
      <c r="K98" s="27">
        <f t="shared" si="2"/>
        <v>3.3000000000000002E-2</v>
      </c>
      <c r="L98" s="1">
        <v>3.3</v>
      </c>
      <c r="M98" s="1"/>
      <c r="N98" s="1"/>
      <c r="O98" s="1"/>
      <c r="P98" s="1"/>
    </row>
    <row r="99" spans="1:16" x14ac:dyDescent="0.2">
      <c r="A99" s="4">
        <v>46088</v>
      </c>
      <c r="B99" s="1" t="s">
        <v>753</v>
      </c>
      <c r="C99" s="1" t="s">
        <v>20</v>
      </c>
      <c r="D99" s="1">
        <v>3918</v>
      </c>
      <c r="E99" s="1" t="s">
        <v>760</v>
      </c>
      <c r="F99" s="1">
        <v>222</v>
      </c>
      <c r="G99" s="1">
        <v>300</v>
      </c>
      <c r="H99" s="1">
        <v>15</v>
      </c>
      <c r="I99" s="1">
        <v>325</v>
      </c>
      <c r="J99" s="8">
        <f t="shared" si="3"/>
        <v>4825</v>
      </c>
      <c r="K99" s="27">
        <f t="shared" si="2"/>
        <v>1.8018018018018018E-2</v>
      </c>
      <c r="L99" s="1">
        <v>4</v>
      </c>
      <c r="M99" s="1"/>
      <c r="N99" s="1"/>
      <c r="O99" s="1"/>
      <c r="P99" s="1"/>
    </row>
    <row r="100" spans="1:16" x14ac:dyDescent="0.2">
      <c r="A100" s="4">
        <v>46088</v>
      </c>
      <c r="B100" s="1" t="s">
        <v>753</v>
      </c>
      <c r="C100" s="1" t="s">
        <v>20</v>
      </c>
      <c r="D100" s="1">
        <v>3880</v>
      </c>
      <c r="E100" s="1" t="s">
        <v>318</v>
      </c>
      <c r="F100" s="1"/>
      <c r="G100" s="1"/>
      <c r="H100" s="1"/>
      <c r="I100" s="1"/>
      <c r="J100" s="8">
        <f t="shared" si="3"/>
        <v>0</v>
      </c>
      <c r="K100" s="27">
        <f t="shared" si="2"/>
        <v>0</v>
      </c>
      <c r="L100" s="1"/>
      <c r="M100" s="1"/>
      <c r="N100" s="1"/>
      <c r="O100" s="1"/>
      <c r="P100" s="1"/>
    </row>
    <row r="101" spans="1:16" x14ac:dyDescent="0.2">
      <c r="A101" s="4">
        <v>46088</v>
      </c>
      <c r="B101" s="1" t="s">
        <v>753</v>
      </c>
      <c r="C101" s="1" t="s">
        <v>33</v>
      </c>
      <c r="D101" s="1">
        <v>3896</v>
      </c>
      <c r="E101" s="1" t="s">
        <v>761</v>
      </c>
      <c r="F101" s="1">
        <v>423.1</v>
      </c>
      <c r="G101" s="1">
        <v>500</v>
      </c>
      <c r="H101" s="1">
        <v>38</v>
      </c>
      <c r="I101" s="1"/>
      <c r="J101" s="8">
        <f t="shared" si="3"/>
        <v>19000</v>
      </c>
      <c r="K101" s="27">
        <f t="shared" ref="K101:K164" si="4">IFERROR(L101/(F101-O101)*100%,0)</f>
        <v>0</v>
      </c>
      <c r="L101" s="1"/>
      <c r="M101" s="1"/>
      <c r="N101" s="1"/>
      <c r="O101" s="1"/>
      <c r="P101" s="1"/>
    </row>
    <row r="102" spans="1:16" x14ac:dyDescent="0.2">
      <c r="A102" s="4">
        <v>46089</v>
      </c>
      <c r="B102" s="1" t="s">
        <v>40</v>
      </c>
      <c r="C102" s="1" t="s">
        <v>15</v>
      </c>
      <c r="D102" s="1">
        <v>3698</v>
      </c>
      <c r="E102" s="1" t="s">
        <v>755</v>
      </c>
      <c r="F102" s="1">
        <v>268</v>
      </c>
      <c r="G102" s="1">
        <v>250</v>
      </c>
      <c r="H102" s="1">
        <v>17</v>
      </c>
      <c r="I102" s="1">
        <v>85</v>
      </c>
      <c r="J102" s="8">
        <f t="shared" si="3"/>
        <v>4335</v>
      </c>
      <c r="K102" s="27">
        <f t="shared" si="4"/>
        <v>1.0447761194029849E-2</v>
      </c>
      <c r="L102" s="1">
        <v>2.8</v>
      </c>
      <c r="M102" s="1"/>
      <c r="N102" s="1"/>
      <c r="O102" s="1"/>
      <c r="P102" s="1"/>
    </row>
    <row r="103" spans="1:16" x14ac:dyDescent="0.2">
      <c r="A103" s="4">
        <v>46089</v>
      </c>
      <c r="B103" s="1" t="s">
        <v>40</v>
      </c>
      <c r="C103" s="1" t="s">
        <v>15</v>
      </c>
      <c r="D103" s="1">
        <v>3905</v>
      </c>
      <c r="E103" s="1" t="s">
        <v>211</v>
      </c>
      <c r="F103" s="1">
        <v>672.4</v>
      </c>
      <c r="G103" s="1">
        <v>400</v>
      </c>
      <c r="H103" s="1">
        <v>36</v>
      </c>
      <c r="I103" s="1">
        <v>390</v>
      </c>
      <c r="J103" s="8">
        <f t="shared" si="3"/>
        <v>14790</v>
      </c>
      <c r="K103" s="27">
        <f t="shared" si="4"/>
        <v>3.1231409875074364E-3</v>
      </c>
      <c r="L103" s="1">
        <v>2.1</v>
      </c>
      <c r="M103" s="1"/>
      <c r="N103" s="1"/>
      <c r="O103" s="1"/>
      <c r="P103" s="1"/>
    </row>
    <row r="104" spans="1:16" x14ac:dyDescent="0.2">
      <c r="A104" s="4">
        <v>46089</v>
      </c>
      <c r="B104" s="1" t="s">
        <v>40</v>
      </c>
      <c r="C104" s="1" t="s">
        <v>15</v>
      </c>
      <c r="D104" s="1">
        <v>3952</v>
      </c>
      <c r="E104" s="1" t="s">
        <v>762</v>
      </c>
      <c r="F104" s="1">
        <v>131.30000000000001</v>
      </c>
      <c r="G104" s="1">
        <v>1000</v>
      </c>
      <c r="H104" s="1">
        <v>13</v>
      </c>
      <c r="I104" s="1"/>
      <c r="J104" s="8">
        <f t="shared" si="3"/>
        <v>13000</v>
      </c>
      <c r="K104" s="27">
        <f t="shared" si="4"/>
        <v>6.0929169840060931E-3</v>
      </c>
      <c r="L104" s="1">
        <v>0.8</v>
      </c>
      <c r="M104" s="1"/>
      <c r="N104" s="1"/>
      <c r="O104" s="1"/>
      <c r="P104" s="1"/>
    </row>
    <row r="105" spans="1:16" x14ac:dyDescent="0.2">
      <c r="A105" s="4">
        <v>46089</v>
      </c>
      <c r="B105" s="1" t="s">
        <v>40</v>
      </c>
      <c r="C105" s="1" t="s">
        <v>20</v>
      </c>
      <c r="D105" s="1">
        <v>3880</v>
      </c>
      <c r="E105" s="1" t="s">
        <v>318</v>
      </c>
      <c r="F105" s="1">
        <v>530.5</v>
      </c>
      <c r="G105" s="1">
        <v>1500</v>
      </c>
      <c r="H105" s="1">
        <v>35</v>
      </c>
      <c r="I105" s="1"/>
      <c r="J105" s="8">
        <f t="shared" si="3"/>
        <v>52500</v>
      </c>
      <c r="K105" s="27">
        <f t="shared" si="4"/>
        <v>7.1630537229029215E-3</v>
      </c>
      <c r="L105" s="1">
        <v>3.8</v>
      </c>
      <c r="M105" s="1"/>
      <c r="N105" s="1"/>
      <c r="O105" s="1"/>
      <c r="P105" s="1"/>
    </row>
    <row r="106" spans="1:16" x14ac:dyDescent="0.2">
      <c r="A106" s="4">
        <v>46089</v>
      </c>
      <c r="B106" s="1" t="s">
        <v>40</v>
      </c>
      <c r="C106" s="1" t="s">
        <v>33</v>
      </c>
      <c r="D106" s="1">
        <v>3896</v>
      </c>
      <c r="E106" s="1" t="s">
        <v>761</v>
      </c>
      <c r="F106" s="1">
        <v>391.5</v>
      </c>
      <c r="G106" s="1">
        <v>500</v>
      </c>
      <c r="H106" s="1">
        <v>25</v>
      </c>
      <c r="I106" s="1">
        <v>240</v>
      </c>
      <c r="J106" s="8">
        <f t="shared" si="3"/>
        <v>12740</v>
      </c>
      <c r="K106" s="27">
        <f t="shared" si="4"/>
        <v>1.3843888070692196E-2</v>
      </c>
      <c r="L106" s="1">
        <v>4.7</v>
      </c>
      <c r="M106" s="1">
        <v>8.9</v>
      </c>
      <c r="N106" s="1">
        <v>1.7</v>
      </c>
      <c r="O106" s="1">
        <v>52</v>
      </c>
      <c r="P106" s="1"/>
    </row>
    <row r="107" spans="1:16" x14ac:dyDescent="0.2">
      <c r="A107" s="4">
        <v>46089</v>
      </c>
      <c r="B107" s="1" t="s">
        <v>40</v>
      </c>
      <c r="C107" s="1" t="s">
        <v>33</v>
      </c>
      <c r="D107" s="1">
        <v>3895</v>
      </c>
      <c r="E107" s="1" t="s">
        <v>66</v>
      </c>
      <c r="F107" s="1">
        <v>481.7</v>
      </c>
      <c r="G107" s="1">
        <v>700</v>
      </c>
      <c r="H107" s="1">
        <v>46</v>
      </c>
      <c r="I107" s="1">
        <v>350</v>
      </c>
      <c r="J107" s="8">
        <f t="shared" si="3"/>
        <v>32550</v>
      </c>
      <c r="K107" s="27">
        <f t="shared" si="4"/>
        <v>7.2261072261072265E-3</v>
      </c>
      <c r="L107" s="1">
        <v>3.1</v>
      </c>
      <c r="M107" s="1">
        <v>8.9</v>
      </c>
      <c r="N107" s="1"/>
      <c r="O107" s="1">
        <v>52.7</v>
      </c>
      <c r="P107" s="1"/>
    </row>
    <row r="108" spans="1:16" x14ac:dyDescent="0.2">
      <c r="A108" s="4">
        <v>46089</v>
      </c>
      <c r="B108" s="1" t="s">
        <v>40</v>
      </c>
      <c r="C108" s="1" t="s">
        <v>27</v>
      </c>
      <c r="D108" s="1">
        <v>3773</v>
      </c>
      <c r="E108" s="1" t="s">
        <v>763</v>
      </c>
      <c r="F108" s="1">
        <v>113</v>
      </c>
      <c r="G108" s="1">
        <v>1000</v>
      </c>
      <c r="H108" s="1">
        <v>34</v>
      </c>
      <c r="I108" s="1">
        <v>300</v>
      </c>
      <c r="J108" s="8">
        <f t="shared" si="3"/>
        <v>34300</v>
      </c>
      <c r="K108" s="27">
        <f t="shared" si="4"/>
        <v>1.4159292035398232E-2</v>
      </c>
      <c r="L108" s="1">
        <v>1.6</v>
      </c>
      <c r="M108" s="1"/>
      <c r="N108" s="1"/>
      <c r="O108" s="1"/>
      <c r="P108" s="1"/>
    </row>
    <row r="109" spans="1:16" x14ac:dyDescent="0.2">
      <c r="A109" s="4">
        <v>46089</v>
      </c>
      <c r="B109" s="1" t="s">
        <v>40</v>
      </c>
      <c r="C109" s="1" t="s">
        <v>24</v>
      </c>
      <c r="D109" s="1">
        <v>3784</v>
      </c>
      <c r="E109" s="1" t="s">
        <v>764</v>
      </c>
      <c r="F109" s="1"/>
      <c r="G109" s="1">
        <v>500</v>
      </c>
      <c r="H109" s="1">
        <v>12</v>
      </c>
      <c r="I109" s="1">
        <v>430</v>
      </c>
      <c r="J109" s="8">
        <f t="shared" si="3"/>
        <v>6430</v>
      </c>
      <c r="K109" s="27">
        <f t="shared" si="4"/>
        <v>0</v>
      </c>
      <c r="L109" s="1">
        <v>2.7</v>
      </c>
      <c r="M109" s="1"/>
      <c r="N109" s="1"/>
      <c r="O109" s="1"/>
      <c r="P109" s="1"/>
    </row>
    <row r="110" spans="1:16" x14ac:dyDescent="0.2">
      <c r="A110" s="4">
        <v>46089</v>
      </c>
      <c r="B110" s="1" t="s">
        <v>40</v>
      </c>
      <c r="C110" s="1" t="s">
        <v>24</v>
      </c>
      <c r="D110" s="1">
        <v>3783</v>
      </c>
      <c r="E110" s="1" t="s">
        <v>334</v>
      </c>
      <c r="F110" s="1">
        <v>71</v>
      </c>
      <c r="G110" s="1">
        <v>700</v>
      </c>
      <c r="H110" s="1">
        <v>14</v>
      </c>
      <c r="I110" s="1">
        <v>250</v>
      </c>
      <c r="J110" s="8">
        <f t="shared" si="3"/>
        <v>10050</v>
      </c>
      <c r="K110" s="27">
        <f t="shared" si="4"/>
        <v>2.3943661971830985E-2</v>
      </c>
      <c r="L110" s="1">
        <v>1.7</v>
      </c>
      <c r="M110" s="1">
        <v>1.7</v>
      </c>
      <c r="N110" s="1"/>
      <c r="O110" s="1"/>
      <c r="P110" s="1"/>
    </row>
    <row r="111" spans="1:16" x14ac:dyDescent="0.2">
      <c r="A111" s="4">
        <v>46089</v>
      </c>
      <c r="B111" s="1" t="s">
        <v>40</v>
      </c>
      <c r="C111" s="1" t="s">
        <v>24</v>
      </c>
      <c r="D111" s="1">
        <v>3541</v>
      </c>
      <c r="E111" s="1" t="s">
        <v>357</v>
      </c>
      <c r="F111" s="1">
        <v>179.1</v>
      </c>
      <c r="G111" s="1">
        <v>500</v>
      </c>
      <c r="H111" s="1">
        <v>19</v>
      </c>
      <c r="I111" s="1"/>
      <c r="J111" s="8">
        <f t="shared" si="3"/>
        <v>9500</v>
      </c>
      <c r="K111" s="27">
        <f t="shared" si="4"/>
        <v>7.0649052268811033E-2</v>
      </c>
      <c r="L111" s="1">
        <v>12.3</v>
      </c>
      <c r="M111" s="1">
        <v>2.6</v>
      </c>
      <c r="N111" s="1"/>
      <c r="O111" s="1">
        <v>5</v>
      </c>
      <c r="P111" s="1"/>
    </row>
    <row r="112" spans="1:16" x14ac:dyDescent="0.2">
      <c r="A112" s="4">
        <v>46089</v>
      </c>
      <c r="B112" s="1" t="s">
        <v>40</v>
      </c>
      <c r="C112" s="1" t="s">
        <v>27</v>
      </c>
      <c r="D112" s="1">
        <v>3767</v>
      </c>
      <c r="E112" s="1" t="s">
        <v>64</v>
      </c>
      <c r="F112" s="1">
        <v>105</v>
      </c>
      <c r="G112" s="1">
        <v>1500</v>
      </c>
      <c r="H112" s="1">
        <v>12</v>
      </c>
      <c r="I112" s="1"/>
      <c r="J112" s="8">
        <f t="shared" si="3"/>
        <v>18000</v>
      </c>
      <c r="K112" s="27">
        <f t="shared" si="4"/>
        <v>1.6190476190476189E-2</v>
      </c>
      <c r="L112" s="1">
        <v>1.7</v>
      </c>
      <c r="M112" s="1"/>
      <c r="N112" s="1"/>
      <c r="O112" s="1"/>
      <c r="P112" s="1"/>
    </row>
    <row r="113" spans="1:16" x14ac:dyDescent="0.2">
      <c r="A113" s="4">
        <v>46089</v>
      </c>
      <c r="B113" s="1" t="s">
        <v>40</v>
      </c>
      <c r="C113" s="1" t="s">
        <v>20</v>
      </c>
      <c r="D113" s="1">
        <v>3947</v>
      </c>
      <c r="E113" s="1" t="s">
        <v>765</v>
      </c>
      <c r="F113" s="1">
        <v>124.5</v>
      </c>
      <c r="G113" s="1">
        <v>7000</v>
      </c>
      <c r="H113" s="1">
        <v>7</v>
      </c>
      <c r="I113" s="1"/>
      <c r="J113" s="8">
        <f t="shared" si="3"/>
        <v>49000</v>
      </c>
      <c r="K113" s="27">
        <f t="shared" si="4"/>
        <v>1.285140562248996E-2</v>
      </c>
      <c r="L113" s="1">
        <v>1.6</v>
      </c>
      <c r="M113" s="1"/>
      <c r="N113" s="1"/>
      <c r="O113" s="1"/>
      <c r="P113" s="1"/>
    </row>
    <row r="114" spans="1:16" x14ac:dyDescent="0.2">
      <c r="A114" s="4">
        <v>46089</v>
      </c>
      <c r="B114" s="1" t="s">
        <v>40</v>
      </c>
      <c r="C114" s="1" t="s">
        <v>33</v>
      </c>
      <c r="D114" s="1">
        <v>3886</v>
      </c>
      <c r="E114" s="1" t="s">
        <v>625</v>
      </c>
      <c r="F114" s="1">
        <v>246.7</v>
      </c>
      <c r="G114" s="1">
        <v>500</v>
      </c>
      <c r="H114" s="1">
        <v>16</v>
      </c>
      <c r="I114" s="1"/>
      <c r="J114" s="8">
        <f t="shared" si="3"/>
        <v>8000</v>
      </c>
      <c r="K114" s="27">
        <f t="shared" si="4"/>
        <v>2.4E-2</v>
      </c>
      <c r="L114" s="1">
        <v>5.4</v>
      </c>
      <c r="M114" s="1">
        <v>3.4</v>
      </c>
      <c r="N114" s="1"/>
      <c r="O114" s="1">
        <v>21.7</v>
      </c>
      <c r="P114" s="1"/>
    </row>
    <row r="115" spans="1:16" x14ac:dyDescent="0.2">
      <c r="A115" s="4">
        <v>46090</v>
      </c>
      <c r="B115" s="18" t="s">
        <v>54</v>
      </c>
      <c r="C115" s="1" t="s">
        <v>15</v>
      </c>
      <c r="D115" s="1">
        <v>3952</v>
      </c>
      <c r="E115" s="1" t="s">
        <v>762</v>
      </c>
      <c r="F115" s="1">
        <v>91.5</v>
      </c>
      <c r="G115" s="1">
        <v>1000</v>
      </c>
      <c r="H115" s="1">
        <v>6</v>
      </c>
      <c r="I115" s="1">
        <v>730</v>
      </c>
      <c r="J115" s="8">
        <f t="shared" si="3"/>
        <v>6730</v>
      </c>
      <c r="K115" s="27">
        <f t="shared" si="4"/>
        <v>0</v>
      </c>
      <c r="L115" s="1"/>
      <c r="M115" s="1"/>
      <c r="N115" s="1"/>
      <c r="O115" s="1"/>
      <c r="P115" s="1"/>
    </row>
    <row r="116" spans="1:16" x14ac:dyDescent="0.2">
      <c r="A116" s="4">
        <v>46090</v>
      </c>
      <c r="B116" s="18" t="s">
        <v>54</v>
      </c>
      <c r="C116" s="1" t="s">
        <v>20</v>
      </c>
      <c r="D116" s="1">
        <v>3947</v>
      </c>
      <c r="E116" s="1" t="s">
        <v>765</v>
      </c>
      <c r="F116" s="1"/>
      <c r="G116" s="1">
        <v>7000</v>
      </c>
      <c r="H116" s="1"/>
      <c r="I116" s="1">
        <v>7200</v>
      </c>
      <c r="J116" s="8">
        <f t="shared" si="3"/>
        <v>7200</v>
      </c>
      <c r="K116" s="27">
        <f t="shared" si="4"/>
        <v>0</v>
      </c>
      <c r="L116" s="1"/>
      <c r="M116" s="1"/>
      <c r="N116" s="1"/>
      <c r="O116" s="1"/>
      <c r="P116" s="1"/>
    </row>
    <row r="117" spans="1:16" x14ac:dyDescent="0.2">
      <c r="A117" s="4">
        <v>46090</v>
      </c>
      <c r="B117" s="18" t="s">
        <v>54</v>
      </c>
      <c r="C117" s="1" t="s">
        <v>33</v>
      </c>
      <c r="D117" s="1">
        <v>3886</v>
      </c>
      <c r="E117" s="1" t="s">
        <v>625</v>
      </c>
      <c r="F117" s="1">
        <v>28</v>
      </c>
      <c r="G117" s="1">
        <v>500</v>
      </c>
      <c r="H117" s="1">
        <v>2</v>
      </c>
      <c r="I117" s="1">
        <v>300</v>
      </c>
      <c r="J117" s="8">
        <f t="shared" si="3"/>
        <v>1300</v>
      </c>
      <c r="K117" s="27">
        <f t="shared" si="4"/>
        <v>0</v>
      </c>
      <c r="L117" s="1"/>
      <c r="M117" s="1"/>
      <c r="N117" s="1"/>
      <c r="O117" s="1">
        <v>3.4</v>
      </c>
      <c r="P117" s="1"/>
    </row>
    <row r="118" spans="1:16" x14ac:dyDescent="0.2">
      <c r="A118" s="4">
        <v>46090</v>
      </c>
      <c r="B118" s="18" t="s">
        <v>54</v>
      </c>
      <c r="C118" s="1" t="s">
        <v>24</v>
      </c>
      <c r="D118" s="1">
        <v>3541</v>
      </c>
      <c r="E118" s="1" t="s">
        <v>357</v>
      </c>
      <c r="F118" s="1">
        <v>178.1</v>
      </c>
      <c r="G118" s="1">
        <v>500</v>
      </c>
      <c r="H118" s="1">
        <v>25</v>
      </c>
      <c r="I118" s="1">
        <v>150</v>
      </c>
      <c r="J118" s="8">
        <f t="shared" si="3"/>
        <v>12650</v>
      </c>
      <c r="K118" s="27">
        <f t="shared" si="4"/>
        <v>4.3655413271245641E-2</v>
      </c>
      <c r="L118" s="1">
        <v>7.5</v>
      </c>
      <c r="M118" s="1">
        <v>4.4000000000000004</v>
      </c>
      <c r="N118" s="1"/>
      <c r="O118" s="1">
        <v>6.3</v>
      </c>
      <c r="P118" s="1"/>
    </row>
    <row r="119" spans="1:16" x14ac:dyDescent="0.2">
      <c r="A119" s="4">
        <v>46090</v>
      </c>
      <c r="B119" s="18" t="s">
        <v>54</v>
      </c>
      <c r="C119" s="1" t="s">
        <v>27</v>
      </c>
      <c r="D119" s="1">
        <v>3767</v>
      </c>
      <c r="E119" s="1" t="s">
        <v>64</v>
      </c>
      <c r="F119" s="1"/>
      <c r="G119" s="1">
        <v>1500</v>
      </c>
      <c r="H119" s="1">
        <v>8</v>
      </c>
      <c r="I119" s="1"/>
      <c r="J119" s="8">
        <f t="shared" si="3"/>
        <v>12000</v>
      </c>
      <c r="K119" s="27">
        <f t="shared" si="4"/>
        <v>0</v>
      </c>
      <c r="L119" s="1">
        <v>1.3</v>
      </c>
      <c r="M119" s="1"/>
      <c r="N119" s="1"/>
      <c r="O119" s="1"/>
      <c r="P119" s="1"/>
    </row>
    <row r="120" spans="1:16" x14ac:dyDescent="0.2">
      <c r="A120" s="4">
        <v>46090</v>
      </c>
      <c r="B120" s="18" t="s">
        <v>54</v>
      </c>
      <c r="C120" s="1" t="s">
        <v>20</v>
      </c>
      <c r="D120" s="1">
        <v>3782</v>
      </c>
      <c r="E120" s="1" t="s">
        <v>143</v>
      </c>
      <c r="F120" s="1">
        <v>224.9</v>
      </c>
      <c r="G120" s="1">
        <v>500</v>
      </c>
      <c r="H120" s="1">
        <v>12</v>
      </c>
      <c r="I120" s="1">
        <v>270</v>
      </c>
      <c r="J120" s="8">
        <f t="shared" si="3"/>
        <v>6270</v>
      </c>
      <c r="K120" s="27">
        <f t="shared" si="4"/>
        <v>4.3574922187638955E-2</v>
      </c>
      <c r="L120" s="1">
        <v>9.8000000000000007</v>
      </c>
      <c r="M120" s="1"/>
      <c r="N120" s="1"/>
      <c r="O120" s="1"/>
      <c r="P120" s="1"/>
    </row>
    <row r="121" spans="1:16" x14ac:dyDescent="0.2">
      <c r="A121" s="4">
        <v>46090</v>
      </c>
      <c r="B121" s="18" t="s">
        <v>54</v>
      </c>
      <c r="C121" s="1" t="s">
        <v>15</v>
      </c>
      <c r="D121" s="1">
        <v>3996</v>
      </c>
      <c r="E121" s="1" t="s">
        <v>766</v>
      </c>
      <c r="F121" s="1">
        <v>257.10000000000002</v>
      </c>
      <c r="G121" s="1">
        <v>500</v>
      </c>
      <c r="H121" s="1">
        <v>22</v>
      </c>
      <c r="I121" s="1">
        <v>300</v>
      </c>
      <c r="J121" s="8">
        <f t="shared" si="3"/>
        <v>11300</v>
      </c>
      <c r="K121" s="27">
        <f t="shared" si="4"/>
        <v>2.0225593154414623E-2</v>
      </c>
      <c r="L121" s="1">
        <v>5.2</v>
      </c>
      <c r="M121" s="1"/>
      <c r="N121" s="1"/>
      <c r="O121" s="1"/>
      <c r="P121" s="1"/>
    </row>
    <row r="122" spans="1:16" x14ac:dyDescent="0.2">
      <c r="A122" s="4">
        <v>46090</v>
      </c>
      <c r="B122" s="18" t="s">
        <v>54</v>
      </c>
      <c r="C122" s="1" t="s">
        <v>27</v>
      </c>
      <c r="D122" s="1">
        <v>3765</v>
      </c>
      <c r="E122" s="1" t="s">
        <v>482</v>
      </c>
      <c r="F122" s="1">
        <v>135</v>
      </c>
      <c r="G122" s="1">
        <v>2000</v>
      </c>
      <c r="H122" s="1">
        <v>19</v>
      </c>
      <c r="I122" s="1"/>
      <c r="J122" s="8">
        <f t="shared" si="3"/>
        <v>38000</v>
      </c>
      <c r="K122" s="27">
        <f t="shared" si="4"/>
        <v>2.5185185185185185E-2</v>
      </c>
      <c r="L122" s="1">
        <v>3.4</v>
      </c>
      <c r="M122" s="1"/>
      <c r="N122" s="1"/>
      <c r="O122" s="1"/>
      <c r="P122" s="1"/>
    </row>
    <row r="123" spans="1:16" x14ac:dyDescent="0.2">
      <c r="A123" s="4">
        <v>46090</v>
      </c>
      <c r="B123" s="18" t="s">
        <v>54</v>
      </c>
      <c r="C123" s="1" t="s">
        <v>15</v>
      </c>
      <c r="D123" s="1">
        <v>3870</v>
      </c>
      <c r="E123" s="1" t="s">
        <v>767</v>
      </c>
      <c r="F123" s="1">
        <v>233</v>
      </c>
      <c r="G123" s="1">
        <v>250</v>
      </c>
      <c r="H123" s="1">
        <v>20</v>
      </c>
      <c r="I123" s="1">
        <v>300</v>
      </c>
      <c r="J123" s="8">
        <f t="shared" si="3"/>
        <v>5300</v>
      </c>
      <c r="K123" s="27">
        <f t="shared" si="4"/>
        <v>3.5622317596566526E-2</v>
      </c>
      <c r="L123" s="1">
        <v>8.3000000000000007</v>
      </c>
      <c r="M123" s="1"/>
      <c r="N123" s="1"/>
      <c r="O123" s="1"/>
      <c r="P123" s="1"/>
    </row>
    <row r="124" spans="1:16" x14ac:dyDescent="0.2">
      <c r="A124" s="4">
        <v>46090</v>
      </c>
      <c r="B124" s="18" t="s">
        <v>54</v>
      </c>
      <c r="C124" s="1" t="s">
        <v>24</v>
      </c>
      <c r="D124" s="1">
        <v>3480</v>
      </c>
      <c r="E124" s="1" t="s">
        <v>768</v>
      </c>
      <c r="F124" s="1">
        <v>149.6</v>
      </c>
      <c r="G124" s="1">
        <v>500</v>
      </c>
      <c r="H124" s="1">
        <v>23</v>
      </c>
      <c r="I124" s="1"/>
      <c r="J124" s="8">
        <f t="shared" si="3"/>
        <v>11500</v>
      </c>
      <c r="K124" s="27">
        <f t="shared" si="4"/>
        <v>3.9748953974895397E-2</v>
      </c>
      <c r="L124" s="1">
        <v>5.7</v>
      </c>
      <c r="M124" s="1">
        <v>6.1</v>
      </c>
      <c r="N124" s="1"/>
      <c r="O124" s="1">
        <v>6.2</v>
      </c>
      <c r="P124" s="1"/>
    </row>
    <row r="125" spans="1:16" x14ac:dyDescent="0.2">
      <c r="A125" s="4">
        <v>46090</v>
      </c>
      <c r="B125" s="18" t="s">
        <v>54</v>
      </c>
      <c r="C125" s="1" t="s">
        <v>24</v>
      </c>
      <c r="D125" s="1">
        <v>3872</v>
      </c>
      <c r="E125" s="1" t="s">
        <v>769</v>
      </c>
      <c r="F125" s="1">
        <v>222</v>
      </c>
      <c r="G125" s="1">
        <v>300</v>
      </c>
      <c r="H125" s="1">
        <v>17</v>
      </c>
      <c r="I125" s="1">
        <v>55</v>
      </c>
      <c r="J125" s="8">
        <f t="shared" si="3"/>
        <v>5155</v>
      </c>
      <c r="K125" s="27">
        <f t="shared" si="4"/>
        <v>1.036036036036036E-2</v>
      </c>
      <c r="L125" s="1">
        <v>2.2999999999999998</v>
      </c>
      <c r="M125" s="1"/>
      <c r="N125" s="1"/>
      <c r="O125" s="1"/>
      <c r="P125" s="1"/>
    </row>
    <row r="126" spans="1:16" x14ac:dyDescent="0.2">
      <c r="A126" s="4">
        <v>46090</v>
      </c>
      <c r="B126" s="18" t="s">
        <v>54</v>
      </c>
      <c r="C126" s="1" t="s">
        <v>15</v>
      </c>
      <c r="D126" s="1">
        <v>3830</v>
      </c>
      <c r="E126" s="1" t="s">
        <v>770</v>
      </c>
      <c r="F126" s="1">
        <v>52.9</v>
      </c>
      <c r="G126" s="1">
        <v>2500</v>
      </c>
      <c r="H126" s="1">
        <v>6</v>
      </c>
      <c r="I126" s="1">
        <v>500</v>
      </c>
      <c r="J126" s="8">
        <f t="shared" si="3"/>
        <v>15500</v>
      </c>
      <c r="K126" s="27">
        <f t="shared" si="4"/>
        <v>5.6710775047258983E-3</v>
      </c>
      <c r="L126" s="1">
        <v>0.3</v>
      </c>
      <c r="M126" s="1"/>
      <c r="N126" s="1"/>
      <c r="O126" s="1"/>
      <c r="P126" s="1"/>
    </row>
    <row r="127" spans="1:16" x14ac:dyDescent="0.2">
      <c r="A127" s="4">
        <v>46090</v>
      </c>
      <c r="B127" s="18" t="s">
        <v>54</v>
      </c>
      <c r="C127" s="1" t="s">
        <v>15</v>
      </c>
      <c r="D127" s="1">
        <v>3694</v>
      </c>
      <c r="E127" s="1" t="s">
        <v>529</v>
      </c>
      <c r="F127" s="1">
        <v>235.4</v>
      </c>
      <c r="G127" s="1">
        <v>500</v>
      </c>
      <c r="H127" s="1">
        <v>15</v>
      </c>
      <c r="I127" s="1"/>
      <c r="J127" s="8">
        <f t="shared" si="3"/>
        <v>7500</v>
      </c>
      <c r="K127" s="27">
        <f t="shared" si="4"/>
        <v>0.10407816482582838</v>
      </c>
      <c r="L127" s="1">
        <v>24.5</v>
      </c>
      <c r="M127" s="1"/>
      <c r="N127" s="1"/>
      <c r="O127" s="1"/>
      <c r="P127" s="1"/>
    </row>
    <row r="128" spans="1:16" x14ac:dyDescent="0.2">
      <c r="A128" s="4">
        <v>46090</v>
      </c>
      <c r="B128" s="18" t="s">
        <v>54</v>
      </c>
      <c r="C128" s="1" t="s">
        <v>33</v>
      </c>
      <c r="D128" s="1">
        <v>3937</v>
      </c>
      <c r="E128" s="1" t="s">
        <v>154</v>
      </c>
      <c r="F128" s="1">
        <v>1447.6</v>
      </c>
      <c r="G128" s="1">
        <v>300</v>
      </c>
      <c r="H128" s="1">
        <v>139</v>
      </c>
      <c r="I128" s="1"/>
      <c r="J128" s="8">
        <f t="shared" si="3"/>
        <v>41700</v>
      </c>
      <c r="K128" s="27">
        <f t="shared" si="4"/>
        <v>1.2474660845158273E-2</v>
      </c>
      <c r="L128" s="1">
        <v>16</v>
      </c>
      <c r="M128" s="1">
        <v>13.1</v>
      </c>
      <c r="N128" s="1"/>
      <c r="O128" s="1">
        <v>165</v>
      </c>
      <c r="P128" s="1"/>
    </row>
    <row r="129" spans="1:16" x14ac:dyDescent="0.2">
      <c r="A129" s="4">
        <v>46090</v>
      </c>
      <c r="B129" s="18" t="s">
        <v>54</v>
      </c>
      <c r="C129" s="1"/>
      <c r="D129" s="1">
        <v>4063</v>
      </c>
      <c r="E129" s="1" t="s">
        <v>771</v>
      </c>
      <c r="F129" s="1">
        <v>60</v>
      </c>
      <c r="G129" s="1">
        <v>3500</v>
      </c>
      <c r="H129" s="1">
        <v>3</v>
      </c>
      <c r="I129" s="1"/>
      <c r="J129" s="8">
        <f t="shared" si="3"/>
        <v>10500</v>
      </c>
      <c r="K129" s="27">
        <f t="shared" si="4"/>
        <v>0.16666666666666666</v>
      </c>
      <c r="L129" s="1">
        <v>10</v>
      </c>
      <c r="M129" s="1"/>
      <c r="N129" s="1"/>
      <c r="O129" s="1"/>
      <c r="P129" s="1"/>
    </row>
    <row r="130" spans="1:16" x14ac:dyDescent="0.2">
      <c r="A130" s="4">
        <v>46090</v>
      </c>
      <c r="B130" s="18" t="s">
        <v>54</v>
      </c>
      <c r="C130" s="1" t="s">
        <v>37</v>
      </c>
      <c r="D130" s="1">
        <v>3756</v>
      </c>
      <c r="E130" s="1" t="s">
        <v>756</v>
      </c>
      <c r="F130" s="1"/>
      <c r="G130" s="1">
        <v>500</v>
      </c>
      <c r="H130" s="1">
        <v>8</v>
      </c>
      <c r="I130" s="1"/>
      <c r="J130" s="8">
        <f t="shared" si="3"/>
        <v>4000</v>
      </c>
      <c r="K130" s="27">
        <f t="shared" si="4"/>
        <v>0</v>
      </c>
      <c r="L130" s="1"/>
      <c r="M130" s="1"/>
      <c r="N130" s="1"/>
      <c r="O130" s="1"/>
      <c r="P130" s="1"/>
    </row>
    <row r="131" spans="1:16" x14ac:dyDescent="0.2">
      <c r="A131" s="4">
        <v>46090</v>
      </c>
      <c r="B131" s="18" t="s">
        <v>54</v>
      </c>
      <c r="C131" s="1" t="s">
        <v>24</v>
      </c>
      <c r="D131" s="1">
        <v>3868</v>
      </c>
      <c r="E131" s="1" t="s">
        <v>459</v>
      </c>
      <c r="F131" s="1">
        <v>98.3</v>
      </c>
      <c r="G131" s="1">
        <v>250</v>
      </c>
      <c r="H131" s="1">
        <v>7</v>
      </c>
      <c r="I131" s="1"/>
      <c r="J131" s="8">
        <f t="shared" ref="J131:J194" si="5">G131*H131+I131</f>
        <v>1750</v>
      </c>
      <c r="K131" s="27">
        <f t="shared" si="4"/>
        <v>0</v>
      </c>
      <c r="L131" s="1"/>
      <c r="M131" s="1"/>
      <c r="N131" s="1"/>
      <c r="O131" s="1"/>
      <c r="P131" s="1"/>
    </row>
    <row r="132" spans="1:16" x14ac:dyDescent="0.2">
      <c r="A132" s="4">
        <v>46090</v>
      </c>
      <c r="B132" s="18" t="s">
        <v>54</v>
      </c>
      <c r="C132" s="1" t="s">
        <v>20</v>
      </c>
      <c r="D132" s="1">
        <v>3780</v>
      </c>
      <c r="E132" s="1" t="s">
        <v>143</v>
      </c>
      <c r="F132" s="1">
        <v>50</v>
      </c>
      <c r="G132" s="1">
        <v>500</v>
      </c>
      <c r="H132" s="1">
        <v>2</v>
      </c>
      <c r="I132" s="1"/>
      <c r="J132" s="8">
        <f t="shared" si="5"/>
        <v>1000</v>
      </c>
      <c r="K132" s="27">
        <f t="shared" si="4"/>
        <v>2.6000000000000002E-2</v>
      </c>
      <c r="L132" s="1">
        <v>1.3</v>
      </c>
      <c r="M132" s="1"/>
      <c r="N132" s="1"/>
      <c r="O132" s="1"/>
      <c r="P132" s="1"/>
    </row>
    <row r="133" spans="1:16" x14ac:dyDescent="0.2">
      <c r="A133" s="4">
        <v>46091</v>
      </c>
      <c r="B133" s="1" t="s">
        <v>423</v>
      </c>
      <c r="C133" s="1" t="s">
        <v>15</v>
      </c>
      <c r="D133" s="1">
        <v>3694</v>
      </c>
      <c r="E133" s="1" t="s">
        <v>529</v>
      </c>
      <c r="F133" s="1">
        <v>96.9</v>
      </c>
      <c r="G133" s="1">
        <v>500</v>
      </c>
      <c r="H133" s="1">
        <v>5</v>
      </c>
      <c r="I133" s="1">
        <v>150</v>
      </c>
      <c r="J133" s="8">
        <f t="shared" si="5"/>
        <v>2650</v>
      </c>
      <c r="K133" s="27">
        <f t="shared" si="4"/>
        <v>7.3271413828689361E-2</v>
      </c>
      <c r="L133" s="1">
        <v>7.1</v>
      </c>
      <c r="M133" s="1"/>
      <c r="N133" s="1"/>
      <c r="O133" s="1"/>
      <c r="P133" s="1"/>
    </row>
    <row r="134" spans="1:16" x14ac:dyDescent="0.2">
      <c r="A134" s="4">
        <v>46091</v>
      </c>
      <c r="B134" s="1" t="s">
        <v>423</v>
      </c>
      <c r="C134" s="1" t="s">
        <v>15</v>
      </c>
      <c r="D134" s="1">
        <v>3845</v>
      </c>
      <c r="E134" s="1" t="s">
        <v>477</v>
      </c>
      <c r="F134" s="1">
        <v>333.1</v>
      </c>
      <c r="G134" s="1">
        <v>500</v>
      </c>
      <c r="H134" s="1">
        <v>19</v>
      </c>
      <c r="I134" s="1">
        <v>160</v>
      </c>
      <c r="J134" s="8">
        <f t="shared" si="5"/>
        <v>9660</v>
      </c>
      <c r="K134" s="27">
        <f t="shared" si="4"/>
        <v>1.5610927649354548E-2</v>
      </c>
      <c r="L134" s="1">
        <v>5.2</v>
      </c>
      <c r="M134" s="1"/>
      <c r="N134" s="1">
        <v>11.7</v>
      </c>
      <c r="O134" s="1"/>
      <c r="P134" s="1"/>
    </row>
    <row r="135" spans="1:16" x14ac:dyDescent="0.2">
      <c r="A135" s="4">
        <v>46091</v>
      </c>
      <c r="B135" s="1" t="s">
        <v>423</v>
      </c>
      <c r="C135" s="1" t="s">
        <v>15</v>
      </c>
      <c r="D135" s="1">
        <v>3859</v>
      </c>
      <c r="E135" s="1" t="s">
        <v>248</v>
      </c>
      <c r="F135" s="1">
        <v>198.4</v>
      </c>
      <c r="G135" s="1">
        <v>1000</v>
      </c>
      <c r="H135" s="1">
        <v>37</v>
      </c>
      <c r="I135" s="1"/>
      <c r="J135" s="8">
        <f t="shared" si="5"/>
        <v>37000</v>
      </c>
      <c r="K135" s="27">
        <f t="shared" si="4"/>
        <v>1.4616935483870967E-2</v>
      </c>
      <c r="L135" s="1">
        <v>2.9</v>
      </c>
      <c r="M135" s="1"/>
      <c r="N135" s="1">
        <v>3.5</v>
      </c>
      <c r="O135" s="1"/>
      <c r="P135" s="1"/>
    </row>
    <row r="136" spans="1:16" x14ac:dyDescent="0.2">
      <c r="A136" s="4">
        <v>46091</v>
      </c>
      <c r="B136" s="1" t="s">
        <v>423</v>
      </c>
      <c r="C136" s="1" t="s">
        <v>15</v>
      </c>
      <c r="D136" s="1">
        <v>3860</v>
      </c>
      <c r="E136" s="1" t="s">
        <v>313</v>
      </c>
      <c r="F136" s="1">
        <v>204</v>
      </c>
      <c r="G136" s="1">
        <v>3000</v>
      </c>
      <c r="H136" s="1">
        <v>40</v>
      </c>
      <c r="I136" s="1"/>
      <c r="J136" s="8">
        <f t="shared" si="5"/>
        <v>120000</v>
      </c>
      <c r="K136" s="27">
        <f t="shared" si="4"/>
        <v>2.7450980392156862E-2</v>
      </c>
      <c r="L136" s="1">
        <v>5.6</v>
      </c>
      <c r="M136" s="1"/>
      <c r="N136" s="1">
        <v>8.1</v>
      </c>
      <c r="O136" s="1"/>
      <c r="P136" s="1"/>
    </row>
    <row r="137" spans="1:16" x14ac:dyDescent="0.2">
      <c r="A137" s="4">
        <v>46091</v>
      </c>
      <c r="B137" s="1" t="s">
        <v>423</v>
      </c>
      <c r="C137" s="1" t="s">
        <v>20</v>
      </c>
      <c r="D137" s="1">
        <v>3780</v>
      </c>
      <c r="E137" s="1" t="s">
        <v>143</v>
      </c>
      <c r="F137" s="1"/>
      <c r="G137" s="1">
        <v>500</v>
      </c>
      <c r="H137" s="1">
        <v>4</v>
      </c>
      <c r="I137" s="1"/>
      <c r="J137" s="8">
        <f t="shared" si="5"/>
        <v>2000</v>
      </c>
      <c r="K137" s="27">
        <f t="shared" si="4"/>
        <v>0</v>
      </c>
      <c r="L137" s="1">
        <v>1.2</v>
      </c>
      <c r="M137" s="1"/>
      <c r="N137" s="1"/>
      <c r="O137" s="1"/>
      <c r="P137" s="1"/>
    </row>
    <row r="138" spans="1:16" x14ac:dyDescent="0.2">
      <c r="A138" s="4">
        <v>46091</v>
      </c>
      <c r="B138" s="1" t="s">
        <v>423</v>
      </c>
      <c r="C138" s="1" t="s">
        <v>20</v>
      </c>
      <c r="D138" s="1">
        <v>3776</v>
      </c>
      <c r="E138" s="1" t="s">
        <v>373</v>
      </c>
      <c r="F138" s="1">
        <v>161.5</v>
      </c>
      <c r="G138" s="1">
        <v>500</v>
      </c>
      <c r="H138" s="1">
        <v>7</v>
      </c>
      <c r="I138" s="1"/>
      <c r="J138" s="8">
        <f t="shared" si="5"/>
        <v>3500</v>
      </c>
      <c r="K138" s="27">
        <f t="shared" si="4"/>
        <v>6.1919504643962849E-2</v>
      </c>
      <c r="L138" s="1">
        <v>10</v>
      </c>
      <c r="M138" s="1"/>
      <c r="N138" s="1"/>
      <c r="O138" s="1"/>
      <c r="P138" s="1"/>
    </row>
    <row r="139" spans="1:16" x14ac:dyDescent="0.2">
      <c r="A139" s="4">
        <v>46091</v>
      </c>
      <c r="B139" s="1" t="s">
        <v>423</v>
      </c>
      <c r="C139" s="1" t="s">
        <v>24</v>
      </c>
      <c r="D139" s="1">
        <v>3868</v>
      </c>
      <c r="E139" s="1" t="s">
        <v>459</v>
      </c>
      <c r="F139" s="1">
        <v>845.4</v>
      </c>
      <c r="G139" s="1">
        <v>250</v>
      </c>
      <c r="H139" s="1">
        <v>79</v>
      </c>
      <c r="I139" s="1"/>
      <c r="J139" s="8">
        <f t="shared" si="5"/>
        <v>19750</v>
      </c>
      <c r="K139" s="27">
        <f t="shared" si="4"/>
        <v>1.0882422521883131E-2</v>
      </c>
      <c r="L139" s="1">
        <v>9.1999999999999993</v>
      </c>
      <c r="M139" s="1"/>
      <c r="N139" s="1"/>
      <c r="O139" s="1"/>
      <c r="P139" s="1"/>
    </row>
    <row r="140" spans="1:16" x14ac:dyDescent="0.2">
      <c r="A140" s="4">
        <v>46091</v>
      </c>
      <c r="B140" s="1" t="s">
        <v>423</v>
      </c>
      <c r="C140" s="1" t="s">
        <v>27</v>
      </c>
      <c r="D140" s="1">
        <v>3765</v>
      </c>
      <c r="E140" s="1" t="s">
        <v>482</v>
      </c>
      <c r="F140" s="1">
        <v>154.69999999999999</v>
      </c>
      <c r="G140" s="1">
        <v>2000</v>
      </c>
      <c r="H140" s="1">
        <v>23</v>
      </c>
      <c r="I140" s="1"/>
      <c r="J140" s="8">
        <f t="shared" si="5"/>
        <v>46000</v>
      </c>
      <c r="K140" s="27">
        <f t="shared" si="4"/>
        <v>0</v>
      </c>
      <c r="L140" s="1"/>
      <c r="M140" s="1">
        <v>7.7</v>
      </c>
      <c r="N140" s="1"/>
      <c r="O140" s="1"/>
      <c r="P140" s="1"/>
    </row>
    <row r="141" spans="1:16" x14ac:dyDescent="0.2">
      <c r="A141" s="4">
        <v>46091</v>
      </c>
      <c r="B141" s="1" t="s">
        <v>423</v>
      </c>
      <c r="C141" s="1" t="s">
        <v>33</v>
      </c>
      <c r="D141" s="1">
        <v>3937</v>
      </c>
      <c r="E141" s="1" t="s">
        <v>154</v>
      </c>
      <c r="F141" s="1">
        <v>1437.3</v>
      </c>
      <c r="G141" s="1">
        <v>300</v>
      </c>
      <c r="H141" s="1">
        <v>126</v>
      </c>
      <c r="I141" s="1"/>
      <c r="J141" s="8">
        <f t="shared" si="5"/>
        <v>37800</v>
      </c>
      <c r="K141" s="27">
        <f t="shared" si="4"/>
        <v>1.7063522841852169E-2</v>
      </c>
      <c r="L141" s="1">
        <v>22</v>
      </c>
      <c r="M141" s="1">
        <v>30</v>
      </c>
      <c r="N141" s="1">
        <v>5</v>
      </c>
      <c r="O141" s="1">
        <v>148</v>
      </c>
      <c r="P141" s="1"/>
    </row>
    <row r="142" spans="1:16" x14ac:dyDescent="0.2">
      <c r="A142" s="4">
        <v>46091</v>
      </c>
      <c r="B142" s="1" t="s">
        <v>423</v>
      </c>
      <c r="C142" s="1" t="s">
        <v>37</v>
      </c>
      <c r="D142" s="1">
        <v>3756</v>
      </c>
      <c r="E142" s="1" t="s">
        <v>756</v>
      </c>
      <c r="F142" s="1"/>
      <c r="G142" s="1">
        <v>500</v>
      </c>
      <c r="H142" s="1">
        <v>4</v>
      </c>
      <c r="I142" s="1">
        <v>165</v>
      </c>
      <c r="J142" s="8">
        <f t="shared" si="5"/>
        <v>2165</v>
      </c>
      <c r="K142" s="27">
        <f t="shared" si="4"/>
        <v>0</v>
      </c>
      <c r="L142" s="1"/>
      <c r="M142" s="1"/>
      <c r="N142" s="1"/>
      <c r="O142" s="1"/>
      <c r="P142" s="1"/>
    </row>
    <row r="143" spans="1:16" x14ac:dyDescent="0.2">
      <c r="A143" s="4">
        <v>46091</v>
      </c>
      <c r="B143" s="1" t="s">
        <v>423</v>
      </c>
      <c r="C143" s="1" t="s">
        <v>772</v>
      </c>
      <c r="D143" s="1">
        <v>4063</v>
      </c>
      <c r="E143" s="1" t="s">
        <v>771</v>
      </c>
      <c r="F143" s="1">
        <v>123</v>
      </c>
      <c r="G143" s="1">
        <v>3500</v>
      </c>
      <c r="H143" s="1">
        <v>4</v>
      </c>
      <c r="I143" s="1"/>
      <c r="J143" s="8">
        <f t="shared" si="5"/>
        <v>14000</v>
      </c>
      <c r="K143" s="27">
        <f t="shared" si="4"/>
        <v>0.1016260162601626</v>
      </c>
      <c r="L143" s="1">
        <v>12.5</v>
      </c>
      <c r="M143" s="1"/>
      <c r="N143" s="1"/>
      <c r="O143" s="1"/>
      <c r="P143" s="1"/>
    </row>
    <row r="144" spans="1:16" x14ac:dyDescent="0.2">
      <c r="A144" s="4">
        <v>46092</v>
      </c>
      <c r="B144" s="1" t="s">
        <v>40</v>
      </c>
      <c r="C144" s="1" t="s">
        <v>15</v>
      </c>
      <c r="D144" s="1">
        <v>3860</v>
      </c>
      <c r="E144" s="1" t="s">
        <v>313</v>
      </c>
      <c r="F144" s="1">
        <v>82.8</v>
      </c>
      <c r="G144" s="1">
        <v>3000</v>
      </c>
      <c r="H144" s="1">
        <v>11</v>
      </c>
      <c r="I144" s="1">
        <v>2000</v>
      </c>
      <c r="J144" s="8">
        <f t="shared" si="5"/>
        <v>35000</v>
      </c>
      <c r="K144" s="27">
        <f t="shared" si="4"/>
        <v>8.4541062801932361E-3</v>
      </c>
      <c r="L144" s="1">
        <v>0.7</v>
      </c>
      <c r="M144" s="1"/>
      <c r="N144" s="1">
        <v>2.2999999999999998</v>
      </c>
      <c r="O144" s="1"/>
      <c r="P144" s="1"/>
    </row>
    <row r="145" spans="1:16" x14ac:dyDescent="0.2">
      <c r="A145" s="4">
        <v>46092</v>
      </c>
      <c r="B145" s="1" t="s">
        <v>40</v>
      </c>
      <c r="C145" s="1" t="s">
        <v>20</v>
      </c>
      <c r="D145" s="1">
        <v>3676</v>
      </c>
      <c r="E145" s="1" t="s">
        <v>373</v>
      </c>
      <c r="F145" s="1">
        <v>102.8</v>
      </c>
      <c r="G145" s="1">
        <v>500</v>
      </c>
      <c r="H145" s="1">
        <v>4</v>
      </c>
      <c r="I145" s="1"/>
      <c r="J145" s="8">
        <f t="shared" si="5"/>
        <v>2000</v>
      </c>
      <c r="K145" s="27">
        <f t="shared" si="4"/>
        <v>3.5992217898832689E-2</v>
      </c>
      <c r="L145" s="1">
        <v>3.7</v>
      </c>
      <c r="M145" s="1"/>
      <c r="N145" s="1"/>
      <c r="O145" s="1"/>
      <c r="P145" s="1"/>
    </row>
    <row r="146" spans="1:16" x14ac:dyDescent="0.2">
      <c r="A146" s="4">
        <v>46092</v>
      </c>
      <c r="B146" s="1" t="s">
        <v>40</v>
      </c>
      <c r="C146" s="1" t="s">
        <v>24</v>
      </c>
      <c r="D146" s="1">
        <v>3868</v>
      </c>
      <c r="E146" s="1" t="s">
        <v>459</v>
      </c>
      <c r="F146" s="1">
        <v>210.3</v>
      </c>
      <c r="G146" s="1">
        <v>250</v>
      </c>
      <c r="H146" s="1">
        <v>22</v>
      </c>
      <c r="I146" s="1">
        <v>190</v>
      </c>
      <c r="J146" s="8">
        <f t="shared" si="5"/>
        <v>5690</v>
      </c>
      <c r="K146" s="27">
        <f t="shared" si="4"/>
        <v>6.657156443176414E-3</v>
      </c>
      <c r="L146" s="1">
        <v>1.4</v>
      </c>
      <c r="M146" s="1"/>
      <c r="N146" s="1">
        <v>1.7</v>
      </c>
      <c r="O146" s="1"/>
      <c r="P146" s="1"/>
    </row>
    <row r="147" spans="1:16" x14ac:dyDescent="0.2">
      <c r="A147" s="4">
        <v>46092</v>
      </c>
      <c r="B147" s="1" t="s">
        <v>40</v>
      </c>
      <c r="C147" s="1" t="s">
        <v>27</v>
      </c>
      <c r="D147" s="1">
        <v>3765</v>
      </c>
      <c r="E147" s="1" t="s">
        <v>482</v>
      </c>
      <c r="F147" s="1">
        <v>201.7</v>
      </c>
      <c r="G147" s="1">
        <v>2000</v>
      </c>
      <c r="H147" s="1">
        <v>26</v>
      </c>
      <c r="I147" s="1"/>
      <c r="J147" s="8">
        <f t="shared" si="5"/>
        <v>52000</v>
      </c>
      <c r="K147" s="27">
        <f t="shared" si="4"/>
        <v>7.9325731284085287E-3</v>
      </c>
      <c r="L147" s="1">
        <v>1.6</v>
      </c>
      <c r="M147" s="1">
        <v>3</v>
      </c>
      <c r="N147" s="1"/>
      <c r="O147" s="1"/>
      <c r="P147" s="1"/>
    </row>
    <row r="148" spans="1:16" x14ac:dyDescent="0.2">
      <c r="A148" s="4">
        <v>46092</v>
      </c>
      <c r="B148" s="1" t="s">
        <v>40</v>
      </c>
      <c r="C148" s="1" t="s">
        <v>15</v>
      </c>
      <c r="D148" s="1">
        <v>3932</v>
      </c>
      <c r="E148" s="1" t="s">
        <v>338</v>
      </c>
      <c r="F148" s="1">
        <v>380</v>
      </c>
      <c r="G148" s="1">
        <v>1500</v>
      </c>
      <c r="H148" s="1">
        <v>30</v>
      </c>
      <c r="I148" s="1">
        <v>900</v>
      </c>
      <c r="J148" s="8">
        <f t="shared" si="5"/>
        <v>45900</v>
      </c>
      <c r="K148" s="27">
        <f t="shared" si="4"/>
        <v>8.6842105263157891E-3</v>
      </c>
      <c r="L148" s="1">
        <v>3.3</v>
      </c>
      <c r="M148" s="1"/>
      <c r="N148" s="1"/>
      <c r="O148" s="1"/>
      <c r="P148" s="1"/>
    </row>
    <row r="149" spans="1:16" x14ac:dyDescent="0.2">
      <c r="A149" s="4">
        <v>46092</v>
      </c>
      <c r="B149" s="1" t="s">
        <v>40</v>
      </c>
      <c r="C149" s="1" t="s">
        <v>15</v>
      </c>
      <c r="D149" s="1">
        <v>3653</v>
      </c>
      <c r="E149" s="1" t="s">
        <v>773</v>
      </c>
      <c r="F149" s="1">
        <v>144.69999999999999</v>
      </c>
      <c r="G149" s="1">
        <v>2000</v>
      </c>
      <c r="H149" s="1">
        <v>13</v>
      </c>
      <c r="I149" s="1">
        <v>600</v>
      </c>
      <c r="J149" s="8">
        <f t="shared" si="5"/>
        <v>26600</v>
      </c>
      <c r="K149" s="27">
        <f t="shared" si="4"/>
        <v>7.6019350380096768E-3</v>
      </c>
      <c r="L149" s="1">
        <v>1.1000000000000001</v>
      </c>
      <c r="M149" s="1"/>
      <c r="N149" s="1"/>
      <c r="O149" s="1"/>
      <c r="P149" s="1"/>
    </row>
    <row r="150" spans="1:16" x14ac:dyDescent="0.2">
      <c r="A150" s="4">
        <v>46092</v>
      </c>
      <c r="B150" s="1" t="s">
        <v>40</v>
      </c>
      <c r="C150" s="1" t="s">
        <v>15</v>
      </c>
      <c r="D150" s="1">
        <v>3656</v>
      </c>
      <c r="E150" s="1" t="s">
        <v>709</v>
      </c>
      <c r="F150" s="1">
        <v>102.4</v>
      </c>
      <c r="G150" s="1">
        <v>1500</v>
      </c>
      <c r="H150" s="1">
        <v>9</v>
      </c>
      <c r="I150" s="1"/>
      <c r="J150" s="8">
        <f t="shared" si="5"/>
        <v>13500</v>
      </c>
      <c r="K150" s="27">
        <f t="shared" si="4"/>
        <v>2.05078125E-2</v>
      </c>
      <c r="L150" s="1">
        <v>2.1</v>
      </c>
      <c r="M150" s="1"/>
      <c r="N150" s="1"/>
      <c r="O150" s="1"/>
      <c r="P150" s="1"/>
    </row>
    <row r="151" spans="1:16" x14ac:dyDescent="0.2">
      <c r="A151" s="4">
        <v>46092</v>
      </c>
      <c r="B151" s="1" t="s">
        <v>40</v>
      </c>
      <c r="C151" s="1" t="s">
        <v>24</v>
      </c>
      <c r="D151" s="1">
        <v>3915</v>
      </c>
      <c r="E151" s="1" t="s">
        <v>651</v>
      </c>
      <c r="F151" s="1">
        <v>507.3</v>
      </c>
      <c r="G151" s="1">
        <v>600</v>
      </c>
      <c r="H151" s="1">
        <v>26</v>
      </c>
      <c r="I151" s="1"/>
      <c r="J151" s="8">
        <f t="shared" si="5"/>
        <v>15600</v>
      </c>
      <c r="K151" s="27">
        <f t="shared" si="4"/>
        <v>2.3654642223536367E-3</v>
      </c>
      <c r="L151" s="1">
        <v>1.2</v>
      </c>
      <c r="M151" s="1"/>
      <c r="N151" s="1"/>
      <c r="O151" s="1"/>
      <c r="P151" s="1"/>
    </row>
    <row r="152" spans="1:16" x14ac:dyDescent="0.2">
      <c r="A152" s="4">
        <v>46092</v>
      </c>
      <c r="B152" s="1" t="s">
        <v>40</v>
      </c>
      <c r="C152" s="1" t="s">
        <v>20</v>
      </c>
      <c r="D152" s="1">
        <v>4044</v>
      </c>
      <c r="E152" s="1" t="s">
        <v>774</v>
      </c>
      <c r="F152" s="1">
        <v>409.7</v>
      </c>
      <c r="G152" s="1">
        <v>700</v>
      </c>
      <c r="H152" s="1">
        <v>29</v>
      </c>
      <c r="I152" s="1">
        <v>250</v>
      </c>
      <c r="J152" s="8">
        <f t="shared" si="5"/>
        <v>20550</v>
      </c>
      <c r="K152" s="27">
        <f t="shared" si="4"/>
        <v>6.5901879423968766E-3</v>
      </c>
      <c r="L152" s="1">
        <v>2.7</v>
      </c>
      <c r="M152" s="1"/>
      <c r="N152" s="1"/>
      <c r="O152" s="1"/>
      <c r="P152" s="1"/>
    </row>
    <row r="153" spans="1:16" x14ac:dyDescent="0.2">
      <c r="A153" s="4">
        <v>46092</v>
      </c>
      <c r="B153" s="1" t="s">
        <v>40</v>
      </c>
      <c r="C153" s="1" t="s">
        <v>33</v>
      </c>
      <c r="D153" s="1">
        <v>3997</v>
      </c>
      <c r="E153" s="1" t="s">
        <v>775</v>
      </c>
      <c r="F153" s="1">
        <v>40.799999999999997</v>
      </c>
      <c r="G153" s="1">
        <v>500</v>
      </c>
      <c r="H153" s="1">
        <v>4</v>
      </c>
      <c r="I153" s="1">
        <v>294</v>
      </c>
      <c r="J153" s="8">
        <f t="shared" si="5"/>
        <v>2294</v>
      </c>
      <c r="K153" s="27">
        <f t="shared" si="4"/>
        <v>1.6666666666666666E-2</v>
      </c>
      <c r="L153" s="1">
        <v>0.6</v>
      </c>
      <c r="M153" s="1"/>
      <c r="N153" s="1"/>
      <c r="O153" s="1">
        <v>4.8</v>
      </c>
      <c r="P153" s="1"/>
    </row>
    <row r="154" spans="1:16" x14ac:dyDescent="0.2">
      <c r="A154" s="4">
        <v>46092</v>
      </c>
      <c r="B154" s="1" t="s">
        <v>40</v>
      </c>
      <c r="C154" s="1" t="s">
        <v>33</v>
      </c>
      <c r="D154" s="1">
        <v>3935</v>
      </c>
      <c r="E154" s="1" t="s">
        <v>142</v>
      </c>
      <c r="F154" s="1">
        <v>259.8</v>
      </c>
      <c r="G154" s="1">
        <v>500</v>
      </c>
      <c r="H154" s="1">
        <v>18</v>
      </c>
      <c r="I154" s="1"/>
      <c r="J154" s="8">
        <f t="shared" si="5"/>
        <v>9000</v>
      </c>
      <c r="K154" s="27">
        <f t="shared" si="4"/>
        <v>7.7821011673151752E-3</v>
      </c>
      <c r="L154" s="1">
        <v>1.8</v>
      </c>
      <c r="M154" s="1">
        <v>2.7</v>
      </c>
      <c r="N154" s="1"/>
      <c r="O154" s="1">
        <v>28.5</v>
      </c>
      <c r="P154" s="1"/>
    </row>
    <row r="155" spans="1:16" x14ac:dyDescent="0.2">
      <c r="A155" s="4">
        <v>46093</v>
      </c>
      <c r="B155" s="1" t="s">
        <v>54</v>
      </c>
      <c r="C155" s="1" t="s">
        <v>15</v>
      </c>
      <c r="D155" s="1">
        <v>3656</v>
      </c>
      <c r="E155" s="1" t="s">
        <v>709</v>
      </c>
      <c r="F155" s="1">
        <v>50</v>
      </c>
      <c r="G155" s="1">
        <v>1500</v>
      </c>
      <c r="H155" s="1">
        <v>4</v>
      </c>
      <c r="I155" s="1">
        <v>950</v>
      </c>
      <c r="J155" s="8">
        <f t="shared" si="5"/>
        <v>6950</v>
      </c>
      <c r="K155" s="27">
        <f t="shared" si="4"/>
        <v>8.0000000000000002E-3</v>
      </c>
      <c r="L155" s="1">
        <v>0.4</v>
      </c>
      <c r="M155" s="1"/>
      <c r="N155" s="1"/>
      <c r="O155" s="1"/>
      <c r="P155" s="1"/>
    </row>
    <row r="156" spans="1:16" x14ac:dyDescent="0.2">
      <c r="A156" s="4">
        <v>46093</v>
      </c>
      <c r="B156" s="1" t="s">
        <v>54</v>
      </c>
      <c r="C156" s="1" t="s">
        <v>20</v>
      </c>
      <c r="D156" s="1">
        <v>3676</v>
      </c>
      <c r="E156" s="1" t="s">
        <v>373</v>
      </c>
      <c r="F156" s="1"/>
      <c r="G156" s="1">
        <v>500</v>
      </c>
      <c r="H156" s="1">
        <v>2</v>
      </c>
      <c r="I156" s="1"/>
      <c r="J156" s="8">
        <f t="shared" si="5"/>
        <v>1000</v>
      </c>
      <c r="K156" s="27">
        <f t="shared" si="4"/>
        <v>0</v>
      </c>
      <c r="L156" s="1">
        <v>0.5</v>
      </c>
      <c r="M156" s="1"/>
      <c r="N156" s="1"/>
      <c r="O156" s="1"/>
      <c r="P156" s="1"/>
    </row>
    <row r="157" spans="1:16" x14ac:dyDescent="0.2">
      <c r="A157" s="4">
        <v>46093</v>
      </c>
      <c r="B157" s="1" t="s">
        <v>54</v>
      </c>
      <c r="C157" s="1" t="s">
        <v>33</v>
      </c>
      <c r="D157" s="1">
        <v>3935</v>
      </c>
      <c r="E157" s="1" t="s">
        <v>142</v>
      </c>
      <c r="F157" s="1">
        <v>1101.9000000000001</v>
      </c>
      <c r="G157" s="1">
        <v>500</v>
      </c>
      <c r="H157" s="1">
        <v>79</v>
      </c>
      <c r="I157" s="1">
        <v>150</v>
      </c>
      <c r="J157" s="8">
        <f t="shared" si="5"/>
        <v>39650</v>
      </c>
      <c r="K157" s="27">
        <f t="shared" si="4"/>
        <v>4.2984341418483259E-3</v>
      </c>
      <c r="L157" s="1">
        <v>4.2</v>
      </c>
      <c r="M157" s="1">
        <v>17.5</v>
      </c>
      <c r="N157" s="1"/>
      <c r="O157" s="1">
        <v>124.8</v>
      </c>
      <c r="P157" s="1"/>
    </row>
    <row r="158" spans="1:16" x14ac:dyDescent="0.2">
      <c r="A158" s="4">
        <v>46093</v>
      </c>
      <c r="B158" s="1" t="s">
        <v>54</v>
      </c>
      <c r="C158" s="1" t="s">
        <v>24</v>
      </c>
      <c r="D158" s="1">
        <v>3915</v>
      </c>
      <c r="E158" s="1" t="s">
        <v>651</v>
      </c>
      <c r="F158" s="1">
        <v>60</v>
      </c>
      <c r="G158" s="1">
        <v>600</v>
      </c>
      <c r="H158" s="1">
        <v>7</v>
      </c>
      <c r="I158" s="1">
        <v>120</v>
      </c>
      <c r="J158" s="8">
        <f t="shared" si="5"/>
        <v>4320</v>
      </c>
      <c r="K158" s="27">
        <f t="shared" si="4"/>
        <v>0.01</v>
      </c>
      <c r="L158" s="1">
        <v>0.6</v>
      </c>
      <c r="M158" s="1"/>
      <c r="N158" s="1"/>
      <c r="O158" s="1"/>
      <c r="P158" s="1"/>
    </row>
    <row r="159" spans="1:16" x14ac:dyDescent="0.2">
      <c r="A159" s="4">
        <v>46093</v>
      </c>
      <c r="B159" s="1" t="s">
        <v>54</v>
      </c>
      <c r="C159" s="1" t="s">
        <v>27</v>
      </c>
      <c r="D159" s="1">
        <v>3765</v>
      </c>
      <c r="E159" s="1" t="s">
        <v>482</v>
      </c>
      <c r="F159" s="1">
        <v>230.6</v>
      </c>
      <c r="G159" s="1">
        <v>2000</v>
      </c>
      <c r="H159" s="1">
        <v>28</v>
      </c>
      <c r="I159" s="1"/>
      <c r="J159" s="8">
        <f t="shared" si="5"/>
        <v>56000</v>
      </c>
      <c r="K159" s="27">
        <f t="shared" si="4"/>
        <v>1.8647007805724196E-2</v>
      </c>
      <c r="L159" s="1">
        <v>4.3</v>
      </c>
      <c r="M159" s="1">
        <v>4</v>
      </c>
      <c r="N159" s="1"/>
      <c r="O159" s="1"/>
      <c r="P159" s="1"/>
    </row>
    <row r="160" spans="1:16" x14ac:dyDescent="0.2">
      <c r="A160" s="4">
        <v>46093</v>
      </c>
      <c r="B160" s="1" t="s">
        <v>54</v>
      </c>
      <c r="C160" s="1" t="s">
        <v>15</v>
      </c>
      <c r="D160" s="1">
        <v>3910</v>
      </c>
      <c r="E160" s="1" t="s">
        <v>776</v>
      </c>
      <c r="F160" s="1">
        <v>330.7</v>
      </c>
      <c r="G160" s="1">
        <v>500</v>
      </c>
      <c r="H160" s="1">
        <v>39</v>
      </c>
      <c r="I160" s="1">
        <v>200</v>
      </c>
      <c r="J160" s="8">
        <f t="shared" si="5"/>
        <v>19700</v>
      </c>
      <c r="K160" s="27">
        <f t="shared" si="4"/>
        <v>2.2981554278802541E-2</v>
      </c>
      <c r="L160" s="1">
        <v>7.6</v>
      </c>
      <c r="M160" s="1"/>
      <c r="N160" s="1"/>
      <c r="O160" s="1"/>
      <c r="P160" s="1"/>
    </row>
    <row r="161" spans="1:16" x14ac:dyDescent="0.2">
      <c r="A161" s="4">
        <v>46093</v>
      </c>
      <c r="B161" s="1" t="s">
        <v>54</v>
      </c>
      <c r="C161" s="1" t="s">
        <v>20</v>
      </c>
      <c r="D161" s="1">
        <v>3779</v>
      </c>
      <c r="E161" s="1" t="s">
        <v>373</v>
      </c>
      <c r="F161" s="1">
        <v>209.4</v>
      </c>
      <c r="G161" s="1">
        <v>500</v>
      </c>
      <c r="H161" s="1">
        <v>10</v>
      </c>
      <c r="I161" s="1"/>
      <c r="J161" s="8">
        <f t="shared" si="5"/>
        <v>5000</v>
      </c>
      <c r="K161" s="27">
        <f t="shared" si="4"/>
        <v>1.0028653295128941E-2</v>
      </c>
      <c r="L161" s="1">
        <v>2.1</v>
      </c>
      <c r="M161" s="1"/>
      <c r="N161" s="1"/>
      <c r="O161" s="1"/>
      <c r="P161" s="1" t="s">
        <v>777</v>
      </c>
    </row>
    <row r="162" spans="1:16" x14ac:dyDescent="0.2">
      <c r="A162" s="4">
        <v>46093</v>
      </c>
      <c r="B162" s="1" t="s">
        <v>54</v>
      </c>
      <c r="C162" s="1" t="s">
        <v>24</v>
      </c>
      <c r="D162" s="1">
        <v>3951</v>
      </c>
      <c r="E162" s="1" t="s">
        <v>778</v>
      </c>
      <c r="F162" s="1">
        <v>300</v>
      </c>
      <c r="G162" s="1">
        <v>700</v>
      </c>
      <c r="H162" s="1">
        <v>24</v>
      </c>
      <c r="I162" s="1"/>
      <c r="J162" s="8">
        <f t="shared" si="5"/>
        <v>16800</v>
      </c>
      <c r="K162" s="27">
        <f t="shared" si="4"/>
        <v>9.6666666666666672E-3</v>
      </c>
      <c r="L162" s="1">
        <v>2.9</v>
      </c>
      <c r="M162" s="1"/>
      <c r="N162" s="1"/>
      <c r="O162" s="1"/>
      <c r="P162" s="1"/>
    </row>
    <row r="163" spans="1:16" x14ac:dyDescent="0.2">
      <c r="A163" s="4">
        <v>46093</v>
      </c>
      <c r="B163" s="1" t="s">
        <v>54</v>
      </c>
      <c r="C163" s="1" t="s">
        <v>15</v>
      </c>
      <c r="D163" s="1">
        <v>4001</v>
      </c>
      <c r="E163" s="1" t="s">
        <v>779</v>
      </c>
      <c r="F163" s="1">
        <v>342.1</v>
      </c>
      <c r="G163" s="1">
        <v>500</v>
      </c>
      <c r="H163" s="1">
        <v>32</v>
      </c>
      <c r="I163" s="1"/>
      <c r="J163" s="8">
        <f t="shared" si="5"/>
        <v>16000</v>
      </c>
      <c r="K163" s="27">
        <f t="shared" si="4"/>
        <v>1.6954106986261326E-2</v>
      </c>
      <c r="L163" s="1">
        <v>5.8</v>
      </c>
      <c r="M163" s="1"/>
      <c r="N163" s="1"/>
      <c r="O163" s="1"/>
      <c r="P163" s="1"/>
    </row>
    <row r="164" spans="1:16" x14ac:dyDescent="0.2">
      <c r="A164" s="4">
        <v>46093</v>
      </c>
      <c r="B164" s="1" t="s">
        <v>54</v>
      </c>
      <c r="C164" s="1" t="s">
        <v>15</v>
      </c>
      <c r="D164" s="1">
        <v>3891</v>
      </c>
      <c r="E164" s="1" t="s">
        <v>447</v>
      </c>
      <c r="F164" s="1">
        <v>231.1</v>
      </c>
      <c r="G164" s="1">
        <v>1500</v>
      </c>
      <c r="H164" s="1">
        <v>16</v>
      </c>
      <c r="I164" s="1"/>
      <c r="J164" s="8">
        <f t="shared" si="5"/>
        <v>24000</v>
      </c>
      <c r="K164" s="27">
        <f t="shared" si="4"/>
        <v>2.0337516226741671E-2</v>
      </c>
      <c r="L164" s="1">
        <v>4.7</v>
      </c>
      <c r="M164" s="1"/>
      <c r="N164" s="1"/>
      <c r="O164" s="1"/>
      <c r="P164" s="1"/>
    </row>
    <row r="165" spans="1:16" x14ac:dyDescent="0.2">
      <c r="A165" s="4">
        <v>46093</v>
      </c>
      <c r="B165" s="1" t="s">
        <v>54</v>
      </c>
      <c r="C165" s="1" t="s">
        <v>33</v>
      </c>
      <c r="D165" s="1">
        <v>3936</v>
      </c>
      <c r="E165" s="1" t="s">
        <v>160</v>
      </c>
      <c r="F165" s="1">
        <v>882.3</v>
      </c>
      <c r="G165" s="1">
        <v>500</v>
      </c>
      <c r="H165" s="1">
        <v>81</v>
      </c>
      <c r="I165" s="1"/>
      <c r="J165" s="8">
        <f t="shared" si="5"/>
        <v>40500</v>
      </c>
      <c r="K165" s="27">
        <f t="shared" ref="K165:K228" si="6">IFERROR(L165/(F165-O165)*100%,0)</f>
        <v>6.4862167893226901E-3</v>
      </c>
      <c r="L165" s="1">
        <v>5.2</v>
      </c>
      <c r="M165" s="1">
        <v>6.4</v>
      </c>
      <c r="N165" s="1"/>
      <c r="O165" s="1">
        <v>80.599999999999994</v>
      </c>
      <c r="P165" s="1"/>
    </row>
    <row r="166" spans="1:16" x14ac:dyDescent="0.2">
      <c r="A166" s="4">
        <v>46094</v>
      </c>
      <c r="B166" s="1" t="s">
        <v>423</v>
      </c>
      <c r="C166" s="18" t="s">
        <v>15</v>
      </c>
      <c r="D166" s="18">
        <v>3891</v>
      </c>
      <c r="E166" s="18" t="s">
        <v>447</v>
      </c>
      <c r="F166" s="18">
        <v>39</v>
      </c>
      <c r="G166" s="18">
        <v>1500</v>
      </c>
      <c r="H166" s="18">
        <v>4</v>
      </c>
      <c r="I166" s="18">
        <v>700</v>
      </c>
      <c r="J166" s="8">
        <f t="shared" si="5"/>
        <v>6700</v>
      </c>
      <c r="K166" s="27">
        <f t="shared" si="6"/>
        <v>1.7948717948717947E-2</v>
      </c>
      <c r="L166" s="18">
        <v>0.7</v>
      </c>
      <c r="M166" s="18"/>
      <c r="N166" s="18"/>
      <c r="O166" s="18"/>
      <c r="P166" s="18"/>
    </row>
    <row r="167" spans="1:16" x14ac:dyDescent="0.2">
      <c r="A167" s="4">
        <v>46094</v>
      </c>
      <c r="B167" s="1" t="s">
        <v>423</v>
      </c>
      <c r="C167" s="18" t="s">
        <v>15</v>
      </c>
      <c r="D167" s="18">
        <v>3917</v>
      </c>
      <c r="E167" s="18" t="s">
        <v>780</v>
      </c>
      <c r="F167" s="18">
        <v>246.6</v>
      </c>
      <c r="G167" s="18">
        <v>500</v>
      </c>
      <c r="H167" s="18">
        <v>21</v>
      </c>
      <c r="I167" s="18"/>
      <c r="J167" s="8">
        <f t="shared" si="5"/>
        <v>10500</v>
      </c>
      <c r="K167" s="27">
        <f t="shared" si="6"/>
        <v>3.7712895377128956E-2</v>
      </c>
      <c r="L167" s="18">
        <v>9.3000000000000007</v>
      </c>
      <c r="M167" s="18"/>
      <c r="N167" s="18"/>
      <c r="O167" s="18"/>
      <c r="P167" s="18"/>
    </row>
    <row r="168" spans="1:16" x14ac:dyDescent="0.2">
      <c r="A168" s="4">
        <v>46094</v>
      </c>
      <c r="B168" s="1" t="s">
        <v>423</v>
      </c>
      <c r="C168" s="18" t="s">
        <v>15</v>
      </c>
      <c r="D168" s="18">
        <v>3970</v>
      </c>
      <c r="E168" s="18" t="s">
        <v>198</v>
      </c>
      <c r="F168" s="18">
        <v>494.8</v>
      </c>
      <c r="G168" s="18">
        <v>1500</v>
      </c>
      <c r="H168" s="18">
        <v>41</v>
      </c>
      <c r="I168" s="18"/>
      <c r="J168" s="8">
        <f t="shared" si="5"/>
        <v>61500</v>
      </c>
      <c r="K168" s="27">
        <f t="shared" si="6"/>
        <v>1.4551333872271624E-2</v>
      </c>
      <c r="L168" s="18">
        <v>7.2</v>
      </c>
      <c r="M168" s="18"/>
      <c r="N168" s="18"/>
      <c r="O168" s="18"/>
      <c r="P168" s="18"/>
    </row>
    <row r="169" spans="1:16" x14ac:dyDescent="0.2">
      <c r="A169" s="4">
        <v>46094</v>
      </c>
      <c r="B169" s="1" t="s">
        <v>423</v>
      </c>
      <c r="C169" s="18" t="s">
        <v>15</v>
      </c>
      <c r="D169" s="18">
        <v>3993</v>
      </c>
      <c r="E169" s="18" t="s">
        <v>781</v>
      </c>
      <c r="F169" s="18">
        <v>118</v>
      </c>
      <c r="G169" s="18">
        <v>125</v>
      </c>
      <c r="H169" s="18">
        <v>10</v>
      </c>
      <c r="I169" s="18"/>
      <c r="J169" s="8">
        <f t="shared" si="5"/>
        <v>1250</v>
      </c>
      <c r="K169" s="27">
        <f t="shared" si="6"/>
        <v>4.7457627118644062E-2</v>
      </c>
      <c r="L169" s="18">
        <v>5.6</v>
      </c>
      <c r="M169" s="18"/>
      <c r="N169" s="18"/>
      <c r="O169" s="18"/>
      <c r="P169" s="18"/>
    </row>
    <row r="170" spans="1:16" x14ac:dyDescent="0.2">
      <c r="A170" s="4">
        <v>46094</v>
      </c>
      <c r="B170" s="1" t="s">
        <v>423</v>
      </c>
      <c r="C170" s="18" t="s">
        <v>20</v>
      </c>
      <c r="D170" s="18">
        <v>3779</v>
      </c>
      <c r="E170" s="18" t="s">
        <v>373</v>
      </c>
      <c r="F170" s="18">
        <v>102</v>
      </c>
      <c r="G170" s="18">
        <v>500</v>
      </c>
      <c r="H170" s="18">
        <v>3</v>
      </c>
      <c r="I170" s="18">
        <v>470</v>
      </c>
      <c r="J170" s="8">
        <f t="shared" si="5"/>
        <v>1970</v>
      </c>
      <c r="K170" s="27">
        <f t="shared" si="6"/>
        <v>9.8039215686274508E-3</v>
      </c>
      <c r="L170" s="18">
        <v>1</v>
      </c>
      <c r="M170" s="18"/>
      <c r="N170" s="18"/>
      <c r="O170" s="18"/>
      <c r="P170" s="18"/>
    </row>
    <row r="171" spans="1:16" x14ac:dyDescent="0.2">
      <c r="A171" s="4">
        <v>46094</v>
      </c>
      <c r="B171" s="1" t="s">
        <v>423</v>
      </c>
      <c r="C171" s="18" t="s">
        <v>20</v>
      </c>
      <c r="D171" s="18">
        <v>3676</v>
      </c>
      <c r="E171" s="18" t="s">
        <v>373</v>
      </c>
      <c r="F171" s="18">
        <v>227.8</v>
      </c>
      <c r="G171" s="18">
        <v>500</v>
      </c>
      <c r="H171" s="18">
        <v>9</v>
      </c>
      <c r="I171" s="18"/>
      <c r="J171" s="8">
        <f t="shared" si="5"/>
        <v>4500</v>
      </c>
      <c r="K171" s="27">
        <f t="shared" si="6"/>
        <v>1.0096575943810358E-2</v>
      </c>
      <c r="L171" s="18">
        <v>2.2999999999999998</v>
      </c>
      <c r="M171" s="18"/>
      <c r="N171" s="18"/>
      <c r="O171" s="18"/>
      <c r="P171" s="18"/>
    </row>
    <row r="172" spans="1:16" x14ac:dyDescent="0.2">
      <c r="A172" s="4">
        <v>46094</v>
      </c>
      <c r="B172" s="1" t="s">
        <v>423</v>
      </c>
      <c r="C172" s="18" t="s">
        <v>24</v>
      </c>
      <c r="D172" s="18">
        <v>3951</v>
      </c>
      <c r="E172" s="18" t="s">
        <v>778</v>
      </c>
      <c r="F172" s="18">
        <v>112</v>
      </c>
      <c r="G172" s="18">
        <v>700</v>
      </c>
      <c r="H172" s="18">
        <v>7</v>
      </c>
      <c r="I172" s="18"/>
      <c r="J172" s="8">
        <f t="shared" si="5"/>
        <v>4900</v>
      </c>
      <c r="K172" s="27">
        <f t="shared" si="6"/>
        <v>1.6071428571428573E-2</v>
      </c>
      <c r="L172" s="18">
        <v>1.8</v>
      </c>
      <c r="M172" s="18"/>
      <c r="N172" s="18"/>
      <c r="O172" s="18"/>
      <c r="P172" s="18"/>
    </row>
    <row r="173" spans="1:16" x14ac:dyDescent="0.2">
      <c r="A173" s="4">
        <v>46094</v>
      </c>
      <c r="B173" s="1" t="s">
        <v>423</v>
      </c>
      <c r="C173" s="18" t="s">
        <v>24</v>
      </c>
      <c r="D173" s="18">
        <v>3934</v>
      </c>
      <c r="E173" s="18" t="s">
        <v>408</v>
      </c>
      <c r="F173" s="18">
        <v>217.5</v>
      </c>
      <c r="G173" s="18">
        <v>2000</v>
      </c>
      <c r="H173" s="18">
        <v>25</v>
      </c>
      <c r="I173" s="18"/>
      <c r="J173" s="8">
        <f t="shared" si="5"/>
        <v>50000</v>
      </c>
      <c r="K173" s="27">
        <f t="shared" si="6"/>
        <v>1.0574712643678159E-2</v>
      </c>
      <c r="L173" s="18">
        <v>2.2999999999999998</v>
      </c>
      <c r="M173" s="18"/>
      <c r="N173" s="18"/>
      <c r="O173" s="18"/>
      <c r="P173" s="18"/>
    </row>
    <row r="174" spans="1:16" x14ac:dyDescent="0.2">
      <c r="A174" s="4">
        <v>46094</v>
      </c>
      <c r="B174" s="1" t="s">
        <v>423</v>
      </c>
      <c r="C174" s="18" t="s">
        <v>24</v>
      </c>
      <c r="D174" s="18">
        <v>3815</v>
      </c>
      <c r="E174" s="18" t="s">
        <v>782</v>
      </c>
      <c r="F174" s="18"/>
      <c r="G174" s="18">
        <v>2000</v>
      </c>
      <c r="H174" s="18">
        <v>4</v>
      </c>
      <c r="I174" s="18"/>
      <c r="J174" s="8">
        <f t="shared" si="5"/>
        <v>8000</v>
      </c>
      <c r="K174" s="27">
        <f t="shared" si="6"/>
        <v>0</v>
      </c>
      <c r="L174" s="18">
        <v>1</v>
      </c>
      <c r="M174" s="18"/>
      <c r="N174" s="18"/>
      <c r="O174" s="18"/>
      <c r="P174" s="18"/>
    </row>
    <row r="175" spans="1:16" x14ac:dyDescent="0.2">
      <c r="A175" s="4">
        <v>46094</v>
      </c>
      <c r="B175" s="1" t="s">
        <v>423</v>
      </c>
      <c r="C175" s="18" t="s">
        <v>27</v>
      </c>
      <c r="D175" s="18">
        <v>3765</v>
      </c>
      <c r="E175" s="18" t="s">
        <v>482</v>
      </c>
      <c r="F175" s="18">
        <v>150.6</v>
      </c>
      <c r="G175" s="18">
        <v>2000</v>
      </c>
      <c r="H175" s="18">
        <v>21</v>
      </c>
      <c r="I175" s="18"/>
      <c r="J175" s="8">
        <f t="shared" si="5"/>
        <v>42000</v>
      </c>
      <c r="K175" s="27">
        <f t="shared" si="6"/>
        <v>3.386454183266932E-2</v>
      </c>
      <c r="L175" s="18">
        <v>5.0999999999999996</v>
      </c>
      <c r="M175" s="18"/>
      <c r="N175" s="18">
        <v>5.7</v>
      </c>
      <c r="O175" s="18"/>
      <c r="P175" s="18"/>
    </row>
    <row r="176" spans="1:16" x14ac:dyDescent="0.2">
      <c r="A176" s="4">
        <v>46094</v>
      </c>
      <c r="B176" s="1" t="s">
        <v>423</v>
      </c>
      <c r="C176" s="18" t="s">
        <v>33</v>
      </c>
      <c r="D176" s="18">
        <v>3936</v>
      </c>
      <c r="E176" s="18" t="s">
        <v>160</v>
      </c>
      <c r="F176" s="18">
        <v>209.1</v>
      </c>
      <c r="G176" s="18">
        <v>500</v>
      </c>
      <c r="H176" s="18">
        <v>19</v>
      </c>
      <c r="I176" s="18">
        <v>400</v>
      </c>
      <c r="J176" s="8">
        <f t="shared" si="5"/>
        <v>9900</v>
      </c>
      <c r="K176" s="27">
        <f t="shared" si="6"/>
        <v>5.2714812862414339E-3</v>
      </c>
      <c r="L176" s="18">
        <v>1</v>
      </c>
      <c r="M176" s="18">
        <v>2.2000000000000002</v>
      </c>
      <c r="N176" s="18"/>
      <c r="O176" s="18">
        <v>19.399999999999999</v>
      </c>
      <c r="P176" s="18"/>
    </row>
    <row r="177" spans="1:16" x14ac:dyDescent="0.2">
      <c r="A177" s="4">
        <v>46094</v>
      </c>
      <c r="B177" s="1" t="s">
        <v>423</v>
      </c>
      <c r="C177" s="18" t="s">
        <v>33</v>
      </c>
      <c r="D177" s="18">
        <v>3622</v>
      </c>
      <c r="E177" s="18" t="s">
        <v>189</v>
      </c>
      <c r="F177" s="18">
        <v>527.4</v>
      </c>
      <c r="G177" s="18">
        <v>500</v>
      </c>
      <c r="H177" s="18">
        <v>50</v>
      </c>
      <c r="I177" s="18">
        <v>240</v>
      </c>
      <c r="J177" s="8">
        <f t="shared" si="5"/>
        <v>25240</v>
      </c>
      <c r="K177" s="27">
        <f t="shared" si="6"/>
        <v>1.1358765537933991E-2</v>
      </c>
      <c r="L177" s="18">
        <v>5.3</v>
      </c>
      <c r="M177" s="18">
        <v>14</v>
      </c>
      <c r="N177" s="18"/>
      <c r="O177" s="18">
        <v>60.8</v>
      </c>
      <c r="P177" s="18"/>
    </row>
    <row r="178" spans="1:16" x14ac:dyDescent="0.2">
      <c r="A178" s="4">
        <v>46094</v>
      </c>
      <c r="B178" s="1" t="s">
        <v>423</v>
      </c>
      <c r="C178" s="18" t="s">
        <v>33</v>
      </c>
      <c r="D178" s="18">
        <v>3912</v>
      </c>
      <c r="E178" s="18" t="s">
        <v>783</v>
      </c>
      <c r="F178" s="18">
        <v>152.19999999999999</v>
      </c>
      <c r="G178" s="18">
        <v>500</v>
      </c>
      <c r="H178" s="18">
        <v>8</v>
      </c>
      <c r="I178" s="18"/>
      <c r="J178" s="8">
        <f t="shared" si="5"/>
        <v>4000</v>
      </c>
      <c r="K178" s="27">
        <f t="shared" si="6"/>
        <v>2.5547445255474453E-2</v>
      </c>
      <c r="L178" s="18">
        <v>3.5</v>
      </c>
      <c r="M178" s="18">
        <v>4</v>
      </c>
      <c r="N178" s="18"/>
      <c r="O178" s="18">
        <v>15.2</v>
      </c>
      <c r="P178" s="18"/>
    </row>
    <row r="179" spans="1:16" x14ac:dyDescent="0.2">
      <c r="A179" s="4">
        <v>46094</v>
      </c>
      <c r="B179" s="1" t="s">
        <v>423</v>
      </c>
      <c r="C179" s="18" t="s">
        <v>784</v>
      </c>
      <c r="D179" s="18">
        <v>4063</v>
      </c>
      <c r="E179" s="18" t="s">
        <v>771</v>
      </c>
      <c r="F179" s="18">
        <v>122</v>
      </c>
      <c r="G179" s="18">
        <v>4000</v>
      </c>
      <c r="H179" s="18">
        <v>12</v>
      </c>
      <c r="I179" s="18"/>
      <c r="J179" s="8">
        <f t="shared" si="5"/>
        <v>48000</v>
      </c>
      <c r="K179" s="27">
        <f t="shared" si="6"/>
        <v>3.6885245901639344E-2</v>
      </c>
      <c r="L179" s="18">
        <v>4.5</v>
      </c>
      <c r="M179" s="18"/>
      <c r="N179" s="18"/>
      <c r="O179" s="18"/>
      <c r="P179" s="18"/>
    </row>
    <row r="180" spans="1:16" x14ac:dyDescent="0.2">
      <c r="A180" s="4">
        <v>46095</v>
      </c>
      <c r="B180" s="1" t="s">
        <v>40</v>
      </c>
      <c r="C180" s="18" t="s">
        <v>15</v>
      </c>
      <c r="D180" s="18">
        <v>3993</v>
      </c>
      <c r="E180" s="18" t="s">
        <v>781</v>
      </c>
      <c r="F180" s="18">
        <v>122.2</v>
      </c>
      <c r="G180" s="18">
        <v>125</v>
      </c>
      <c r="H180" s="18">
        <v>7</v>
      </c>
      <c r="I180" s="18">
        <v>85</v>
      </c>
      <c r="J180" s="8">
        <f t="shared" si="5"/>
        <v>960</v>
      </c>
      <c r="K180" s="27">
        <f t="shared" si="6"/>
        <v>5.7283142389525366E-3</v>
      </c>
      <c r="L180" s="18">
        <v>0.7</v>
      </c>
      <c r="M180" s="18"/>
      <c r="N180" s="18"/>
      <c r="O180" s="18"/>
      <c r="P180" s="18"/>
    </row>
    <row r="181" spans="1:16" x14ac:dyDescent="0.2">
      <c r="A181" s="4">
        <v>46095</v>
      </c>
      <c r="B181" s="1" t="s">
        <v>40</v>
      </c>
      <c r="C181" s="18" t="s">
        <v>15</v>
      </c>
      <c r="D181" s="18">
        <v>3858</v>
      </c>
      <c r="E181" s="18" t="s">
        <v>261</v>
      </c>
      <c r="F181" s="18">
        <v>410.2</v>
      </c>
      <c r="G181" s="18">
        <v>1000</v>
      </c>
      <c r="H181" s="18">
        <v>54</v>
      </c>
      <c r="I181" s="18">
        <v>940</v>
      </c>
      <c r="J181" s="8">
        <f t="shared" si="5"/>
        <v>54940</v>
      </c>
      <c r="K181" s="27">
        <f t="shared" si="6"/>
        <v>6.3383715260848369E-3</v>
      </c>
      <c r="L181" s="18">
        <v>2.6</v>
      </c>
      <c r="M181" s="18">
        <v>1.6</v>
      </c>
      <c r="N181" s="18"/>
      <c r="O181" s="18"/>
      <c r="P181" s="18" t="s">
        <v>785</v>
      </c>
    </row>
    <row r="182" spans="1:16" x14ac:dyDescent="0.2">
      <c r="A182" s="4">
        <v>46095</v>
      </c>
      <c r="B182" s="1" t="s">
        <v>40</v>
      </c>
      <c r="C182" s="18" t="s">
        <v>20</v>
      </c>
      <c r="D182" s="18">
        <v>3676</v>
      </c>
      <c r="E182" s="18" t="s">
        <v>373</v>
      </c>
      <c r="F182" s="18">
        <v>161.9</v>
      </c>
      <c r="G182" s="18">
        <v>500</v>
      </c>
      <c r="H182" s="18">
        <v>7</v>
      </c>
      <c r="I182" s="18">
        <v>340</v>
      </c>
      <c r="J182" s="8">
        <f t="shared" si="5"/>
        <v>3840</v>
      </c>
      <c r="K182" s="27">
        <f t="shared" si="6"/>
        <v>6.1766522544780727E-3</v>
      </c>
      <c r="L182" s="18">
        <v>1</v>
      </c>
      <c r="M182" s="18"/>
      <c r="N182" s="18"/>
      <c r="O182" s="18"/>
      <c r="P182" s="18"/>
    </row>
    <row r="183" spans="1:16" x14ac:dyDescent="0.2">
      <c r="A183" s="4">
        <v>46095</v>
      </c>
      <c r="B183" s="1" t="s">
        <v>40</v>
      </c>
      <c r="C183" s="18" t="s">
        <v>33</v>
      </c>
      <c r="D183" s="18">
        <v>3912</v>
      </c>
      <c r="E183" s="18" t="s">
        <v>783</v>
      </c>
      <c r="F183" s="18">
        <v>478.6</v>
      </c>
      <c r="G183" s="18">
        <v>500</v>
      </c>
      <c r="H183" s="18">
        <v>33</v>
      </c>
      <c r="I183" s="18">
        <v>100</v>
      </c>
      <c r="J183" s="8">
        <f t="shared" si="5"/>
        <v>16600</v>
      </c>
      <c r="K183" s="27">
        <f t="shared" si="6"/>
        <v>4.5695045695045688E-3</v>
      </c>
      <c r="L183" s="18">
        <v>1.9</v>
      </c>
      <c r="M183" s="18">
        <v>6.7</v>
      </c>
      <c r="N183" s="18"/>
      <c r="O183" s="18">
        <v>62.8</v>
      </c>
      <c r="P183" s="18"/>
    </row>
    <row r="184" spans="1:16" x14ac:dyDescent="0.2">
      <c r="A184" s="4">
        <v>46095</v>
      </c>
      <c r="B184" s="1" t="s">
        <v>40</v>
      </c>
      <c r="C184" s="18" t="s">
        <v>27</v>
      </c>
      <c r="D184" s="18">
        <v>3765</v>
      </c>
      <c r="E184" s="18" t="s">
        <v>482</v>
      </c>
      <c r="F184" s="18">
        <v>44.5</v>
      </c>
      <c r="G184" s="18">
        <v>2000</v>
      </c>
      <c r="H184" s="18">
        <v>7</v>
      </c>
      <c r="I184" s="18">
        <v>1000</v>
      </c>
      <c r="J184" s="8">
        <f t="shared" si="5"/>
        <v>15000</v>
      </c>
      <c r="K184" s="27">
        <f t="shared" si="6"/>
        <v>1.5730337078651683E-2</v>
      </c>
      <c r="L184" s="18">
        <v>0.7</v>
      </c>
      <c r="M184" s="18">
        <v>1.7</v>
      </c>
      <c r="N184" s="18"/>
      <c r="O184" s="18"/>
      <c r="P184" s="18"/>
    </row>
    <row r="185" spans="1:16" x14ac:dyDescent="0.2">
      <c r="A185" s="4">
        <v>46095</v>
      </c>
      <c r="B185" s="1" t="s">
        <v>40</v>
      </c>
      <c r="C185" s="18" t="s">
        <v>27</v>
      </c>
      <c r="D185" s="18">
        <v>3985</v>
      </c>
      <c r="E185" s="18" t="s">
        <v>235</v>
      </c>
      <c r="F185" s="18">
        <v>270.5</v>
      </c>
      <c r="G185" s="18">
        <v>2000</v>
      </c>
      <c r="H185" s="18">
        <v>26</v>
      </c>
      <c r="I185" s="18"/>
      <c r="J185" s="8">
        <f t="shared" si="5"/>
        <v>52000</v>
      </c>
      <c r="K185" s="27">
        <f t="shared" si="6"/>
        <v>6.284658040665434E-3</v>
      </c>
      <c r="L185" s="18">
        <v>1.7</v>
      </c>
      <c r="M185" s="18">
        <v>2.1</v>
      </c>
      <c r="N185" s="18"/>
      <c r="O185" s="18"/>
      <c r="P185" s="18"/>
    </row>
    <row r="186" spans="1:16" x14ac:dyDescent="0.2">
      <c r="A186" s="4">
        <v>46095</v>
      </c>
      <c r="B186" s="1" t="s">
        <v>40</v>
      </c>
      <c r="C186" s="18" t="s">
        <v>24</v>
      </c>
      <c r="D186" s="18">
        <v>3815</v>
      </c>
      <c r="E186" s="18" t="s">
        <v>782</v>
      </c>
      <c r="F186" s="18"/>
      <c r="G186" s="18">
        <v>2000</v>
      </c>
      <c r="H186" s="18">
        <v>11</v>
      </c>
      <c r="I186" s="18"/>
      <c r="J186" s="8">
        <f t="shared" si="5"/>
        <v>22000</v>
      </c>
      <c r="K186" s="27">
        <f t="shared" si="6"/>
        <v>0</v>
      </c>
      <c r="L186" s="18">
        <v>1.8</v>
      </c>
      <c r="M186" s="18"/>
      <c r="N186" s="18"/>
      <c r="O186" s="18"/>
      <c r="P186" s="18"/>
    </row>
    <row r="187" spans="1:16" x14ac:dyDescent="0.2">
      <c r="A187" s="4">
        <v>46095</v>
      </c>
      <c r="B187" s="1" t="s">
        <v>40</v>
      </c>
      <c r="C187" s="18" t="s">
        <v>24</v>
      </c>
      <c r="D187" s="18">
        <v>3814</v>
      </c>
      <c r="E187" s="18" t="s">
        <v>786</v>
      </c>
      <c r="F187" s="18">
        <v>80.3</v>
      </c>
      <c r="G187" s="18">
        <v>4000</v>
      </c>
      <c r="H187" s="18">
        <v>16</v>
      </c>
      <c r="I187" s="18"/>
      <c r="J187" s="8">
        <f t="shared" si="5"/>
        <v>64000</v>
      </c>
      <c r="K187" s="27">
        <f t="shared" si="6"/>
        <v>7.4719800747198011E-3</v>
      </c>
      <c r="L187" s="18">
        <v>0.6</v>
      </c>
      <c r="M187" s="18"/>
      <c r="N187" s="18"/>
      <c r="O187" s="18"/>
      <c r="P187" s="18"/>
    </row>
    <row r="188" spans="1:16" x14ac:dyDescent="0.2">
      <c r="A188" s="4">
        <v>46095</v>
      </c>
      <c r="B188" s="1" t="s">
        <v>40</v>
      </c>
      <c r="C188" s="18" t="s">
        <v>20</v>
      </c>
      <c r="D188" s="18">
        <v>3778</v>
      </c>
      <c r="E188" s="18" t="s">
        <v>373</v>
      </c>
      <c r="F188" s="18">
        <v>47.9</v>
      </c>
      <c r="G188" s="18">
        <v>500</v>
      </c>
      <c r="H188" s="18">
        <v>2</v>
      </c>
      <c r="I188" s="18"/>
      <c r="J188" s="8">
        <f t="shared" si="5"/>
        <v>1000</v>
      </c>
      <c r="K188" s="27">
        <f t="shared" si="6"/>
        <v>6.2630480167014616E-3</v>
      </c>
      <c r="L188" s="18">
        <v>0.3</v>
      </c>
      <c r="M188" s="18"/>
      <c r="N188" s="18"/>
      <c r="O188" s="18"/>
      <c r="P188" s="18"/>
    </row>
    <row r="189" spans="1:16" x14ac:dyDescent="0.2">
      <c r="A189" s="4">
        <v>46096</v>
      </c>
      <c r="B189" s="1" t="s">
        <v>54</v>
      </c>
      <c r="C189" s="18" t="s">
        <v>15</v>
      </c>
      <c r="D189" s="18">
        <v>3742</v>
      </c>
      <c r="E189" s="18" t="s">
        <v>309</v>
      </c>
      <c r="F189" s="18">
        <v>101.9</v>
      </c>
      <c r="G189" s="18">
        <v>2500</v>
      </c>
      <c r="H189" s="18">
        <v>21</v>
      </c>
      <c r="I189" s="18"/>
      <c r="J189" s="8">
        <f t="shared" si="5"/>
        <v>52500</v>
      </c>
      <c r="K189" s="27">
        <f t="shared" si="6"/>
        <v>2.4533856722276742E-2</v>
      </c>
      <c r="L189" s="18">
        <v>2.5</v>
      </c>
      <c r="M189" s="18"/>
      <c r="N189" s="18"/>
      <c r="O189" s="18"/>
      <c r="P189" s="18"/>
    </row>
    <row r="190" spans="1:16" x14ac:dyDescent="0.2">
      <c r="A190" s="4">
        <v>46096</v>
      </c>
      <c r="B190" s="1" t="s">
        <v>54</v>
      </c>
      <c r="C190" s="18" t="s">
        <v>20</v>
      </c>
      <c r="D190" s="18">
        <v>3778</v>
      </c>
      <c r="E190" s="18" t="s">
        <v>373</v>
      </c>
      <c r="F190" s="18">
        <v>251.9</v>
      </c>
      <c r="G190" s="18">
        <v>500</v>
      </c>
      <c r="H190" s="18">
        <v>11</v>
      </c>
      <c r="I190" s="18">
        <v>300</v>
      </c>
      <c r="J190" s="8">
        <f t="shared" si="5"/>
        <v>5800</v>
      </c>
      <c r="K190" s="27">
        <f t="shared" si="6"/>
        <v>2.2231044065105197E-2</v>
      </c>
      <c r="L190" s="18">
        <v>5.6</v>
      </c>
      <c r="M190" s="18"/>
      <c r="N190" s="18"/>
      <c r="O190" s="18"/>
      <c r="P190" s="18"/>
    </row>
    <row r="191" spans="1:16" x14ac:dyDescent="0.2">
      <c r="A191" s="4">
        <v>46096</v>
      </c>
      <c r="B191" s="1" t="s">
        <v>54</v>
      </c>
      <c r="C191" s="18" t="s">
        <v>24</v>
      </c>
      <c r="D191" s="18">
        <v>3814</v>
      </c>
      <c r="E191" s="18" t="s">
        <v>786</v>
      </c>
      <c r="F191" s="18"/>
      <c r="G191" s="18">
        <v>4000</v>
      </c>
      <c r="H191" s="18">
        <v>3</v>
      </c>
      <c r="I191" s="18">
        <v>700</v>
      </c>
      <c r="J191" s="8">
        <f t="shared" si="5"/>
        <v>12700</v>
      </c>
      <c r="K191" s="27">
        <f t="shared" si="6"/>
        <v>0</v>
      </c>
      <c r="L191" s="18"/>
      <c r="M191" s="18"/>
      <c r="N191" s="18"/>
      <c r="O191" s="18"/>
      <c r="P191" s="18"/>
    </row>
    <row r="192" spans="1:16" x14ac:dyDescent="0.2">
      <c r="A192" s="4">
        <v>46096</v>
      </c>
      <c r="B192" s="1" t="s">
        <v>54</v>
      </c>
      <c r="C192" s="18" t="s">
        <v>27</v>
      </c>
      <c r="D192" s="18">
        <v>3985</v>
      </c>
      <c r="E192" s="18" t="s">
        <v>235</v>
      </c>
      <c r="F192" s="18">
        <v>58</v>
      </c>
      <c r="G192" s="18">
        <v>2000</v>
      </c>
      <c r="H192" s="18">
        <v>8</v>
      </c>
      <c r="I192" s="18">
        <v>1300</v>
      </c>
      <c r="J192" s="8">
        <f t="shared" si="5"/>
        <v>17300</v>
      </c>
      <c r="K192" s="27">
        <f t="shared" si="6"/>
        <v>3.9655172413793099E-2</v>
      </c>
      <c r="L192" s="18">
        <v>2.2999999999999998</v>
      </c>
      <c r="M192" s="18"/>
      <c r="N192" s="18"/>
      <c r="O192" s="18"/>
      <c r="P192" s="18"/>
    </row>
    <row r="193" spans="1:16" x14ac:dyDescent="0.2">
      <c r="A193" s="4">
        <v>46096</v>
      </c>
      <c r="B193" s="1" t="s">
        <v>54</v>
      </c>
      <c r="C193" s="18" t="s">
        <v>33</v>
      </c>
      <c r="D193" s="18">
        <v>3965</v>
      </c>
      <c r="E193" s="18" t="s">
        <v>787</v>
      </c>
      <c r="F193" s="18">
        <v>385.1</v>
      </c>
      <c r="G193" s="18">
        <v>500</v>
      </c>
      <c r="H193" s="18">
        <v>24</v>
      </c>
      <c r="I193" s="18">
        <v>255</v>
      </c>
      <c r="J193" s="8">
        <f t="shared" si="5"/>
        <v>12255</v>
      </c>
      <c r="K193" s="27">
        <f t="shared" si="6"/>
        <v>1.3729977116704805E-2</v>
      </c>
      <c r="L193" s="18">
        <v>4.8</v>
      </c>
      <c r="M193" s="18">
        <v>8</v>
      </c>
      <c r="N193" s="18"/>
      <c r="O193" s="18">
        <v>35.5</v>
      </c>
      <c r="P193" s="18"/>
    </row>
    <row r="194" spans="1:16" x14ac:dyDescent="0.2">
      <c r="A194" s="4">
        <v>46096</v>
      </c>
      <c r="B194" s="1" t="s">
        <v>54</v>
      </c>
      <c r="C194" s="18" t="s">
        <v>20</v>
      </c>
      <c r="D194" s="18">
        <v>3752</v>
      </c>
      <c r="E194" s="18" t="s">
        <v>788</v>
      </c>
      <c r="F194" s="18">
        <v>142.30000000000001</v>
      </c>
      <c r="G194" s="18">
        <v>500</v>
      </c>
      <c r="H194" s="18">
        <v>11</v>
      </c>
      <c r="I194" s="18">
        <v>200</v>
      </c>
      <c r="J194" s="8">
        <f t="shared" si="5"/>
        <v>5700</v>
      </c>
      <c r="K194" s="27">
        <f t="shared" si="6"/>
        <v>2.2487702037947997E-2</v>
      </c>
      <c r="L194" s="18">
        <v>3.2</v>
      </c>
      <c r="M194" s="18"/>
      <c r="N194" s="18"/>
      <c r="O194" s="18"/>
      <c r="P194" s="18"/>
    </row>
    <row r="195" spans="1:16" x14ac:dyDescent="0.2">
      <c r="A195" s="4">
        <v>46096</v>
      </c>
      <c r="B195" s="1" t="s">
        <v>54</v>
      </c>
      <c r="C195" s="18" t="s">
        <v>33</v>
      </c>
      <c r="D195" s="18">
        <v>3967</v>
      </c>
      <c r="E195" s="18" t="s">
        <v>518</v>
      </c>
      <c r="F195" s="18">
        <v>357.4</v>
      </c>
      <c r="G195" s="18">
        <v>500</v>
      </c>
      <c r="H195" s="18">
        <v>34</v>
      </c>
      <c r="I195" s="18">
        <v>200</v>
      </c>
      <c r="J195" s="8">
        <f t="shared" ref="J195:J258" si="7">G195*H195+I195</f>
        <v>17200</v>
      </c>
      <c r="K195" s="27">
        <f t="shared" si="6"/>
        <v>8.7609511889862324E-3</v>
      </c>
      <c r="L195" s="18">
        <v>2.8</v>
      </c>
      <c r="M195" s="18">
        <v>2.7</v>
      </c>
      <c r="N195" s="18"/>
      <c r="O195" s="18">
        <v>37.799999999999997</v>
      </c>
      <c r="P195" s="18"/>
    </row>
    <row r="196" spans="1:16" x14ac:dyDescent="0.2">
      <c r="A196" s="4">
        <v>46096</v>
      </c>
      <c r="B196" s="1" t="s">
        <v>54</v>
      </c>
      <c r="C196" s="18" t="s">
        <v>20</v>
      </c>
      <c r="D196" s="18">
        <v>3998</v>
      </c>
      <c r="E196" s="18" t="s">
        <v>789</v>
      </c>
      <c r="F196" s="18">
        <v>38.4</v>
      </c>
      <c r="G196" s="18">
        <v>800</v>
      </c>
      <c r="H196" s="18">
        <v>5</v>
      </c>
      <c r="I196" s="18">
        <v>250</v>
      </c>
      <c r="J196" s="8">
        <f t="shared" si="7"/>
        <v>4250</v>
      </c>
      <c r="K196" s="27">
        <f t="shared" si="6"/>
        <v>0</v>
      </c>
      <c r="L196" s="18"/>
      <c r="M196" s="18"/>
      <c r="N196" s="18"/>
      <c r="O196" s="18"/>
      <c r="P196" s="18"/>
    </row>
    <row r="197" spans="1:16" x14ac:dyDescent="0.2">
      <c r="A197" s="4">
        <v>46096</v>
      </c>
      <c r="B197" s="1" t="s">
        <v>54</v>
      </c>
      <c r="C197" s="18" t="s">
        <v>33</v>
      </c>
      <c r="D197" s="18">
        <v>3964</v>
      </c>
      <c r="E197" s="18" t="s">
        <v>518</v>
      </c>
      <c r="F197" s="18">
        <v>240.3</v>
      </c>
      <c r="G197" s="18">
        <v>500</v>
      </c>
      <c r="H197" s="18">
        <v>35</v>
      </c>
      <c r="I197" s="18">
        <v>400</v>
      </c>
      <c r="J197" s="8">
        <f t="shared" si="7"/>
        <v>17900</v>
      </c>
      <c r="K197" s="27">
        <f t="shared" si="6"/>
        <v>1.9115890083632018E-2</v>
      </c>
      <c r="L197" s="18">
        <v>3.2</v>
      </c>
      <c r="M197" s="18">
        <v>2.5</v>
      </c>
      <c r="N197" s="18"/>
      <c r="O197" s="18">
        <v>72.900000000000006</v>
      </c>
      <c r="P197" s="18"/>
    </row>
    <row r="198" spans="1:16" x14ac:dyDescent="0.2">
      <c r="A198" s="4">
        <v>46096</v>
      </c>
      <c r="B198" s="1" t="s">
        <v>54</v>
      </c>
      <c r="C198" s="18" t="s">
        <v>24</v>
      </c>
      <c r="D198" s="18">
        <v>3806</v>
      </c>
      <c r="E198" s="18" t="s">
        <v>237</v>
      </c>
      <c r="F198" s="18">
        <v>136.5</v>
      </c>
      <c r="G198" s="18">
        <v>2000</v>
      </c>
      <c r="H198" s="18">
        <v>23</v>
      </c>
      <c r="I198" s="18">
        <v>1500</v>
      </c>
      <c r="J198" s="8">
        <f t="shared" si="7"/>
        <v>47500</v>
      </c>
      <c r="K198" s="27">
        <f t="shared" si="6"/>
        <v>9.5238095238095247E-3</v>
      </c>
      <c r="L198" s="18">
        <v>1.3</v>
      </c>
      <c r="M198" s="18"/>
      <c r="N198" s="18"/>
      <c r="O198" s="18"/>
      <c r="P198" s="18"/>
    </row>
    <row r="199" spans="1:16" x14ac:dyDescent="0.2">
      <c r="A199" s="4">
        <v>46096</v>
      </c>
      <c r="B199" s="1" t="s">
        <v>54</v>
      </c>
      <c r="C199" s="18" t="s">
        <v>27</v>
      </c>
      <c r="D199" s="18">
        <v>3954</v>
      </c>
      <c r="E199" s="18" t="s">
        <v>790</v>
      </c>
      <c r="F199" s="18">
        <v>174.3</v>
      </c>
      <c r="G199" s="18">
        <v>2000</v>
      </c>
      <c r="H199" s="18">
        <v>25</v>
      </c>
      <c r="I199" s="18">
        <v>500</v>
      </c>
      <c r="J199" s="8">
        <f t="shared" si="7"/>
        <v>50500</v>
      </c>
      <c r="K199" s="27">
        <f t="shared" si="6"/>
        <v>1.6064257028112448E-2</v>
      </c>
      <c r="L199" s="18">
        <v>2.8</v>
      </c>
      <c r="M199" s="18"/>
      <c r="N199" s="18"/>
      <c r="O199" s="18"/>
      <c r="P199" s="18"/>
    </row>
    <row r="200" spans="1:16" x14ac:dyDescent="0.2">
      <c r="A200" s="4">
        <v>46096</v>
      </c>
      <c r="B200" s="1" t="s">
        <v>54</v>
      </c>
      <c r="C200" s="18" t="s">
        <v>24</v>
      </c>
      <c r="D200" s="18">
        <v>3934</v>
      </c>
      <c r="E200" s="18" t="s">
        <v>408</v>
      </c>
      <c r="F200" s="18">
        <v>67</v>
      </c>
      <c r="G200" s="18">
        <v>2000</v>
      </c>
      <c r="H200" s="18">
        <v>11</v>
      </c>
      <c r="I200" s="18"/>
      <c r="J200" s="8">
        <f t="shared" si="7"/>
        <v>22000</v>
      </c>
      <c r="K200" s="27">
        <f t="shared" si="6"/>
        <v>5.9701492537313433E-3</v>
      </c>
      <c r="L200" s="18">
        <v>0.4</v>
      </c>
      <c r="M200" s="18"/>
      <c r="N200" s="18"/>
      <c r="O200" s="18"/>
      <c r="P200" s="18"/>
    </row>
    <row r="201" spans="1:16" x14ac:dyDescent="0.2">
      <c r="A201" s="4">
        <v>46096</v>
      </c>
      <c r="B201" s="1" t="s">
        <v>54</v>
      </c>
      <c r="C201" s="18" t="s">
        <v>27</v>
      </c>
      <c r="D201" s="18">
        <v>3767</v>
      </c>
      <c r="E201" s="18" t="s">
        <v>64</v>
      </c>
      <c r="F201" s="18">
        <v>51</v>
      </c>
      <c r="G201" s="18">
        <v>2000</v>
      </c>
      <c r="H201" s="18">
        <v>7</v>
      </c>
      <c r="I201" s="18"/>
      <c r="J201" s="8">
        <f t="shared" si="7"/>
        <v>14000</v>
      </c>
      <c r="K201" s="27">
        <f t="shared" si="6"/>
        <v>2.9411764705882353E-2</v>
      </c>
      <c r="L201" s="18">
        <v>1.5</v>
      </c>
      <c r="M201" s="18"/>
      <c r="N201" s="18"/>
      <c r="O201" s="18"/>
      <c r="P201" s="18"/>
    </row>
    <row r="202" spans="1:16" x14ac:dyDescent="0.2">
      <c r="A202" s="4">
        <v>46096</v>
      </c>
      <c r="B202" s="1" t="s">
        <v>54</v>
      </c>
      <c r="C202" s="18" t="s">
        <v>33</v>
      </c>
      <c r="D202" s="18">
        <v>3787</v>
      </c>
      <c r="E202" s="18" t="s">
        <v>791</v>
      </c>
      <c r="F202" s="18">
        <v>94.9</v>
      </c>
      <c r="G202" s="18">
        <v>500</v>
      </c>
      <c r="H202" s="18">
        <v>19</v>
      </c>
      <c r="I202" s="18">
        <v>400</v>
      </c>
      <c r="J202" s="8">
        <f t="shared" si="7"/>
        <v>9900</v>
      </c>
      <c r="K202" s="27">
        <f t="shared" si="6"/>
        <v>2.6378896882494004E-2</v>
      </c>
      <c r="L202" s="18">
        <v>2.2000000000000002</v>
      </c>
      <c r="M202" s="18"/>
      <c r="N202" s="18"/>
      <c r="O202" s="18">
        <v>11.5</v>
      </c>
      <c r="P202" s="18"/>
    </row>
    <row r="203" spans="1:16" x14ac:dyDescent="0.2">
      <c r="A203" s="4">
        <v>46097</v>
      </c>
      <c r="B203" s="1" t="s">
        <v>423</v>
      </c>
      <c r="C203" s="18" t="s">
        <v>15</v>
      </c>
      <c r="D203" s="18">
        <v>3742</v>
      </c>
      <c r="E203" s="18" t="s">
        <v>309</v>
      </c>
      <c r="F203" s="18">
        <v>51.2</v>
      </c>
      <c r="G203" s="18">
        <v>2500</v>
      </c>
      <c r="H203" s="18">
        <v>5</v>
      </c>
      <c r="I203" s="18">
        <v>1200</v>
      </c>
      <c r="J203" s="8">
        <f t="shared" si="7"/>
        <v>13700</v>
      </c>
      <c r="K203" s="27">
        <f t="shared" si="6"/>
        <v>1.953125E-2</v>
      </c>
      <c r="L203" s="18">
        <v>1</v>
      </c>
      <c r="M203" s="18">
        <v>2.6</v>
      </c>
      <c r="N203" s="18"/>
      <c r="O203" s="18"/>
      <c r="P203" s="18"/>
    </row>
    <row r="204" spans="1:16" x14ac:dyDescent="0.2">
      <c r="A204" s="4">
        <v>46097</v>
      </c>
      <c r="B204" s="1" t="s">
        <v>423</v>
      </c>
      <c r="C204" s="18" t="s">
        <v>15</v>
      </c>
      <c r="D204" s="18">
        <v>4002</v>
      </c>
      <c r="E204" s="18" t="s">
        <v>792</v>
      </c>
      <c r="F204" s="18">
        <v>715.2</v>
      </c>
      <c r="G204" s="18">
        <v>500</v>
      </c>
      <c r="H204" s="18">
        <v>51</v>
      </c>
      <c r="I204" s="18"/>
      <c r="J204" s="8">
        <f t="shared" si="7"/>
        <v>25500</v>
      </c>
      <c r="K204" s="27">
        <f t="shared" si="6"/>
        <v>1.3003355704697987E-2</v>
      </c>
      <c r="L204" s="18">
        <v>9.3000000000000007</v>
      </c>
      <c r="M204" s="18"/>
      <c r="N204" s="18">
        <v>14.6</v>
      </c>
      <c r="O204" s="18"/>
      <c r="P204" s="18"/>
    </row>
    <row r="205" spans="1:16" x14ac:dyDescent="0.2">
      <c r="A205" s="4">
        <v>46097</v>
      </c>
      <c r="B205" s="1" t="s">
        <v>423</v>
      </c>
      <c r="C205" s="18" t="s">
        <v>15</v>
      </c>
      <c r="D205" s="18">
        <v>3749</v>
      </c>
      <c r="E205" s="18" t="s">
        <v>793</v>
      </c>
      <c r="F205" s="18">
        <v>74.5</v>
      </c>
      <c r="G205" s="18">
        <v>1000</v>
      </c>
      <c r="H205" s="18">
        <v>10</v>
      </c>
      <c r="I205" s="18"/>
      <c r="J205" s="8">
        <f t="shared" si="7"/>
        <v>10000</v>
      </c>
      <c r="K205" s="27">
        <f t="shared" si="6"/>
        <v>4.9664429530201344E-2</v>
      </c>
      <c r="L205" s="18">
        <v>3.7</v>
      </c>
      <c r="M205" s="18"/>
      <c r="N205" s="18"/>
      <c r="O205" s="18"/>
      <c r="P205" s="18"/>
    </row>
    <row r="206" spans="1:16" x14ac:dyDescent="0.2">
      <c r="A206" s="4">
        <v>46097</v>
      </c>
      <c r="B206" s="1" t="s">
        <v>423</v>
      </c>
      <c r="C206" s="18" t="s">
        <v>20</v>
      </c>
      <c r="D206" s="18">
        <v>3780</v>
      </c>
      <c r="E206" s="18" t="s">
        <v>143</v>
      </c>
      <c r="F206" s="18">
        <v>114</v>
      </c>
      <c r="G206" s="18">
        <v>500</v>
      </c>
      <c r="H206" s="18">
        <v>7</v>
      </c>
      <c r="I206" s="18">
        <v>260</v>
      </c>
      <c r="J206" s="8">
        <f t="shared" si="7"/>
        <v>3760</v>
      </c>
      <c r="K206" s="27">
        <f t="shared" si="6"/>
        <v>9.6491228070175444E-3</v>
      </c>
      <c r="L206" s="18">
        <v>1.1000000000000001</v>
      </c>
      <c r="M206" s="18"/>
      <c r="N206" s="18"/>
      <c r="O206" s="18"/>
      <c r="P206" s="18"/>
    </row>
    <row r="207" spans="1:16" x14ac:dyDescent="0.2">
      <c r="A207" s="4">
        <v>46097</v>
      </c>
      <c r="B207" s="1" t="s">
        <v>423</v>
      </c>
      <c r="C207" s="18" t="s">
        <v>20</v>
      </c>
      <c r="D207" s="18">
        <v>3781</v>
      </c>
      <c r="E207" s="18" t="s">
        <v>143</v>
      </c>
      <c r="F207" s="18">
        <v>242.1</v>
      </c>
      <c r="G207" s="18">
        <v>500</v>
      </c>
      <c r="H207" s="18">
        <v>15</v>
      </c>
      <c r="I207" s="18">
        <v>300</v>
      </c>
      <c r="J207" s="8">
        <f t="shared" si="7"/>
        <v>7800</v>
      </c>
      <c r="K207" s="27">
        <f t="shared" si="6"/>
        <v>1.4043783560512184E-2</v>
      </c>
      <c r="L207" s="18">
        <v>3.4</v>
      </c>
      <c r="M207" s="18"/>
      <c r="N207" s="18"/>
      <c r="O207" s="18"/>
      <c r="P207" s="18"/>
    </row>
    <row r="208" spans="1:16" x14ac:dyDescent="0.2">
      <c r="A208" s="4">
        <v>46097</v>
      </c>
      <c r="B208" s="1" t="s">
        <v>423</v>
      </c>
      <c r="C208" s="18" t="s">
        <v>24</v>
      </c>
      <c r="D208" s="18">
        <v>3934</v>
      </c>
      <c r="E208" s="18" t="s">
        <v>408</v>
      </c>
      <c r="F208" s="18">
        <v>243.6</v>
      </c>
      <c r="G208" s="18">
        <v>2000</v>
      </c>
      <c r="H208" s="18">
        <v>31</v>
      </c>
      <c r="I208" s="18"/>
      <c r="J208" s="8">
        <f t="shared" si="7"/>
        <v>62000</v>
      </c>
      <c r="K208" s="27">
        <f t="shared" si="6"/>
        <v>5.3366174055829232E-3</v>
      </c>
      <c r="L208" s="18">
        <v>1.3</v>
      </c>
      <c r="M208" s="18"/>
      <c r="N208" s="18"/>
      <c r="O208" s="18"/>
      <c r="P208" s="18"/>
    </row>
    <row r="209" spans="1:18" x14ac:dyDescent="0.2">
      <c r="A209" s="4">
        <v>46097</v>
      </c>
      <c r="B209" s="1" t="s">
        <v>423</v>
      </c>
      <c r="C209" s="18" t="s">
        <v>24</v>
      </c>
      <c r="D209" s="18">
        <v>1</v>
      </c>
      <c r="E209" s="18" t="s">
        <v>794</v>
      </c>
      <c r="F209" s="18">
        <v>55</v>
      </c>
      <c r="G209" s="18">
        <v>1500</v>
      </c>
      <c r="H209" s="18">
        <v>6</v>
      </c>
      <c r="I209" s="18">
        <v>300</v>
      </c>
      <c r="J209" s="8">
        <f t="shared" si="7"/>
        <v>9300</v>
      </c>
      <c r="K209" s="27">
        <f t="shared" si="6"/>
        <v>3.6363636363636362E-2</v>
      </c>
      <c r="L209" s="18">
        <v>2</v>
      </c>
      <c r="M209" s="18"/>
      <c r="N209" s="18"/>
      <c r="O209" s="18"/>
      <c r="P209" s="18"/>
    </row>
    <row r="210" spans="1:18" x14ac:dyDescent="0.2">
      <c r="A210" s="4">
        <v>46097</v>
      </c>
      <c r="B210" s="1" t="s">
        <v>423</v>
      </c>
      <c r="C210" s="18" t="s">
        <v>27</v>
      </c>
      <c r="D210" s="18">
        <v>3767</v>
      </c>
      <c r="E210" s="18" t="s">
        <v>64</v>
      </c>
      <c r="F210" s="18">
        <v>104.6</v>
      </c>
      <c r="G210" s="18">
        <v>2000</v>
      </c>
      <c r="H210" s="18">
        <v>13</v>
      </c>
      <c r="I210" s="18"/>
      <c r="J210" s="8">
        <f t="shared" si="7"/>
        <v>26000</v>
      </c>
      <c r="K210" s="27">
        <f t="shared" si="6"/>
        <v>7.9349904397705562E-2</v>
      </c>
      <c r="L210" s="18">
        <v>8.3000000000000007</v>
      </c>
      <c r="M210" s="18"/>
      <c r="N210" s="18"/>
      <c r="O210" s="18"/>
      <c r="P210" s="18"/>
    </row>
    <row r="211" spans="1:18" x14ac:dyDescent="0.2">
      <c r="A211" s="4">
        <v>46097</v>
      </c>
      <c r="B211" s="1" t="s">
        <v>423</v>
      </c>
      <c r="C211" s="18" t="s">
        <v>27</v>
      </c>
      <c r="D211" s="18">
        <v>3813</v>
      </c>
      <c r="E211" s="18" t="s">
        <v>795</v>
      </c>
      <c r="F211" s="18">
        <v>61.7</v>
      </c>
      <c r="G211" s="18">
        <v>2000</v>
      </c>
      <c r="H211" s="18">
        <v>11</v>
      </c>
      <c r="I211" s="18"/>
      <c r="J211" s="8">
        <f t="shared" si="7"/>
        <v>22000</v>
      </c>
      <c r="K211" s="27">
        <f t="shared" si="6"/>
        <v>1.6207455429497569E-2</v>
      </c>
      <c r="L211" s="18">
        <v>1</v>
      </c>
      <c r="M211" s="18"/>
      <c r="N211" s="18"/>
      <c r="O211" s="18"/>
      <c r="P211" s="18"/>
    </row>
    <row r="212" spans="1:18" x14ac:dyDescent="0.2">
      <c r="A212" s="4">
        <v>46097</v>
      </c>
      <c r="B212" s="1" t="s">
        <v>423</v>
      </c>
      <c r="C212" s="18" t="s">
        <v>784</v>
      </c>
      <c r="D212" s="18">
        <v>4063</v>
      </c>
      <c r="E212" s="18" t="s">
        <v>771</v>
      </c>
      <c r="F212" s="18">
        <v>190.8</v>
      </c>
      <c r="G212" s="18">
        <v>4000</v>
      </c>
      <c r="H212" s="18">
        <v>10</v>
      </c>
      <c r="I212" s="18"/>
      <c r="J212" s="8">
        <f t="shared" si="7"/>
        <v>40000</v>
      </c>
      <c r="K212" s="27">
        <f t="shared" si="6"/>
        <v>3.668763102725367E-2</v>
      </c>
      <c r="L212" s="18">
        <v>7</v>
      </c>
      <c r="M212" s="18"/>
      <c r="N212" s="18"/>
      <c r="O212" s="18"/>
      <c r="P212" s="18"/>
    </row>
    <row r="213" spans="1:18" x14ac:dyDescent="0.2">
      <c r="A213" s="4">
        <v>46098</v>
      </c>
      <c r="B213" s="1" t="s">
        <v>40</v>
      </c>
      <c r="C213" s="18" t="s">
        <v>24</v>
      </c>
      <c r="D213" s="18">
        <v>3934</v>
      </c>
      <c r="E213" s="18" t="s">
        <v>408</v>
      </c>
      <c r="F213" s="18">
        <v>131.80000000000001</v>
      </c>
      <c r="G213" s="18">
        <v>2000</v>
      </c>
      <c r="H213" s="18">
        <v>15</v>
      </c>
      <c r="I213" s="18"/>
      <c r="J213" s="8">
        <f t="shared" si="7"/>
        <v>30000</v>
      </c>
      <c r="K213" s="27">
        <f t="shared" si="6"/>
        <v>6.0698027314112293E-3</v>
      </c>
      <c r="L213" s="18">
        <v>0.8</v>
      </c>
      <c r="M213" s="18"/>
      <c r="N213" s="18">
        <v>1.7</v>
      </c>
      <c r="O213" s="18"/>
      <c r="P213" s="18"/>
    </row>
    <row r="214" spans="1:18" x14ac:dyDescent="0.2">
      <c r="A214" s="4">
        <v>46098</v>
      </c>
      <c r="B214" s="1" t="s">
        <v>40</v>
      </c>
      <c r="C214" s="18" t="s">
        <v>27</v>
      </c>
      <c r="D214" s="18">
        <v>3813</v>
      </c>
      <c r="E214" s="18" t="s">
        <v>795</v>
      </c>
      <c r="F214" s="18">
        <v>51.2</v>
      </c>
      <c r="G214" s="18">
        <v>2000</v>
      </c>
      <c r="H214" s="18">
        <v>8</v>
      </c>
      <c r="I214" s="18">
        <v>1900</v>
      </c>
      <c r="J214" s="8">
        <f t="shared" si="7"/>
        <v>17900</v>
      </c>
      <c r="K214" s="27">
        <f t="shared" si="6"/>
        <v>7.03125E-2</v>
      </c>
      <c r="L214" s="18">
        <v>3.6</v>
      </c>
      <c r="M214" s="18"/>
      <c r="N214" s="18"/>
      <c r="O214" s="18"/>
      <c r="P214" s="18"/>
    </row>
    <row r="215" spans="1:18" x14ac:dyDescent="0.2">
      <c r="A215" s="4">
        <v>46098</v>
      </c>
      <c r="B215" s="1" t="s">
        <v>40</v>
      </c>
      <c r="C215" s="18" t="s">
        <v>27</v>
      </c>
      <c r="D215" s="18">
        <v>3764</v>
      </c>
      <c r="E215" s="18" t="s">
        <v>482</v>
      </c>
      <c r="F215" s="18">
        <v>134</v>
      </c>
      <c r="G215" s="18">
        <v>2000</v>
      </c>
      <c r="H215" s="18">
        <v>19</v>
      </c>
      <c r="I215" s="18"/>
      <c r="J215" s="8">
        <f t="shared" si="7"/>
        <v>38000</v>
      </c>
      <c r="K215" s="27">
        <f t="shared" si="6"/>
        <v>2.0149253731343283E-2</v>
      </c>
      <c r="L215" s="18">
        <v>2.7</v>
      </c>
      <c r="M215" s="18">
        <v>1.1000000000000001</v>
      </c>
      <c r="N215" s="18"/>
      <c r="O215" s="18"/>
      <c r="P215" s="18"/>
    </row>
    <row r="216" spans="1:18" x14ac:dyDescent="0.2">
      <c r="A216" s="4">
        <v>46098</v>
      </c>
      <c r="B216" s="1" t="s">
        <v>40</v>
      </c>
      <c r="C216" s="18" t="s">
        <v>15</v>
      </c>
      <c r="D216" s="18">
        <v>3749</v>
      </c>
      <c r="E216" s="18" t="s">
        <v>793</v>
      </c>
      <c r="F216" s="18">
        <v>131.5</v>
      </c>
      <c r="G216" s="18">
        <v>1000</v>
      </c>
      <c r="H216" s="18">
        <v>12</v>
      </c>
      <c r="I216" s="18">
        <v>260</v>
      </c>
      <c r="J216" s="8">
        <f t="shared" si="7"/>
        <v>12260</v>
      </c>
      <c r="K216" s="27">
        <f t="shared" si="6"/>
        <v>3.1178707224334599E-2</v>
      </c>
      <c r="L216" s="18">
        <v>4.0999999999999996</v>
      </c>
      <c r="M216" s="18"/>
      <c r="N216" s="18"/>
      <c r="O216" s="18"/>
      <c r="P216" s="18"/>
    </row>
    <row r="217" spans="1:18" x14ac:dyDescent="0.2">
      <c r="A217" s="4">
        <v>46098</v>
      </c>
      <c r="B217" s="1" t="s">
        <v>40</v>
      </c>
      <c r="C217" s="18" t="s">
        <v>15</v>
      </c>
      <c r="D217" s="18">
        <v>3920</v>
      </c>
      <c r="E217" s="18" t="s">
        <v>521</v>
      </c>
      <c r="F217" s="18">
        <v>253.6</v>
      </c>
      <c r="G217" s="18">
        <v>600</v>
      </c>
      <c r="H217" s="18">
        <v>40</v>
      </c>
      <c r="I217" s="18"/>
      <c r="J217" s="8">
        <f t="shared" si="7"/>
        <v>24000</v>
      </c>
      <c r="K217" s="27">
        <f t="shared" si="6"/>
        <v>1.5378548895899053E-2</v>
      </c>
      <c r="L217" s="18">
        <v>3.9</v>
      </c>
      <c r="M217" s="18"/>
      <c r="N217" s="18"/>
      <c r="O217" s="18"/>
      <c r="P217" s="18"/>
    </row>
    <row r="218" spans="1:18" x14ac:dyDescent="0.2">
      <c r="A218" s="4">
        <v>46098</v>
      </c>
      <c r="B218" s="1" t="s">
        <v>40</v>
      </c>
      <c r="C218" s="18" t="s">
        <v>20</v>
      </c>
      <c r="D218" s="18">
        <v>3922</v>
      </c>
      <c r="E218" s="18" t="s">
        <v>796</v>
      </c>
      <c r="F218" s="18">
        <v>196.9</v>
      </c>
      <c r="G218" s="18">
        <v>700</v>
      </c>
      <c r="H218" s="18">
        <v>18</v>
      </c>
      <c r="I218" s="18">
        <v>500</v>
      </c>
      <c r="J218" s="8">
        <f t="shared" si="7"/>
        <v>13100</v>
      </c>
      <c r="K218" s="27">
        <f t="shared" si="6"/>
        <v>1.2188928390045707E-2</v>
      </c>
      <c r="L218" s="18">
        <v>2.4</v>
      </c>
      <c r="M218" s="18"/>
      <c r="N218" s="18"/>
      <c r="O218" s="18"/>
      <c r="P218" s="18"/>
    </row>
    <row r="219" spans="1:18" x14ac:dyDescent="0.2">
      <c r="A219" s="4">
        <v>46098</v>
      </c>
      <c r="B219" s="1" t="s">
        <v>40</v>
      </c>
      <c r="C219" s="18" t="s">
        <v>20</v>
      </c>
      <c r="D219" s="18">
        <v>3921</v>
      </c>
      <c r="E219" s="18" t="s">
        <v>796</v>
      </c>
      <c r="F219" s="18">
        <v>153</v>
      </c>
      <c r="G219" s="18">
        <v>700</v>
      </c>
      <c r="H219" s="18">
        <v>14</v>
      </c>
      <c r="I219" s="18">
        <v>200</v>
      </c>
      <c r="J219" s="8">
        <f t="shared" si="7"/>
        <v>10000</v>
      </c>
      <c r="K219" s="27">
        <f t="shared" si="6"/>
        <v>3.9215686274509803E-3</v>
      </c>
      <c r="L219" s="18">
        <v>0.6</v>
      </c>
      <c r="M219" s="18"/>
      <c r="N219" s="18">
        <v>6.6</v>
      </c>
      <c r="O219" s="18"/>
      <c r="P219" s="18"/>
    </row>
    <row r="220" spans="1:18" x14ac:dyDescent="0.2">
      <c r="A220" s="4">
        <v>46098</v>
      </c>
      <c r="B220" s="1" t="s">
        <v>40</v>
      </c>
      <c r="C220" s="18" t="s">
        <v>784</v>
      </c>
      <c r="D220" s="18">
        <v>4063</v>
      </c>
      <c r="E220" s="18" t="s">
        <v>771</v>
      </c>
      <c r="F220" s="18"/>
      <c r="G220" s="18">
        <v>4000</v>
      </c>
      <c r="H220" s="18">
        <v>8</v>
      </c>
      <c r="I220" s="18"/>
      <c r="J220" s="8">
        <f t="shared" si="7"/>
        <v>32000</v>
      </c>
      <c r="K220" s="27">
        <f t="shared" si="6"/>
        <v>0</v>
      </c>
      <c r="L220" s="18"/>
      <c r="M220" s="18"/>
      <c r="N220" s="18"/>
      <c r="O220" s="18"/>
      <c r="P220" s="18"/>
    </row>
    <row r="221" spans="1:18" x14ac:dyDescent="0.2">
      <c r="A221" s="4">
        <v>46098</v>
      </c>
      <c r="B221" s="1" t="s">
        <v>40</v>
      </c>
      <c r="C221" s="18" t="s">
        <v>24</v>
      </c>
      <c r="D221" s="18">
        <v>3634</v>
      </c>
      <c r="E221" s="18" t="s">
        <v>797</v>
      </c>
      <c r="F221" s="18">
        <v>369.5</v>
      </c>
      <c r="G221" s="18">
        <v>500</v>
      </c>
      <c r="H221" s="18">
        <v>34</v>
      </c>
      <c r="I221" s="18">
        <v>400</v>
      </c>
      <c r="J221" s="8">
        <f t="shared" si="7"/>
        <v>17400</v>
      </c>
      <c r="K221" s="27">
        <f t="shared" si="6"/>
        <v>2.6792963464140732E-2</v>
      </c>
      <c r="L221" s="18">
        <v>9.9</v>
      </c>
      <c r="M221" s="18">
        <v>6.9</v>
      </c>
      <c r="N221" s="18"/>
      <c r="O221" s="18"/>
      <c r="P221" s="18"/>
    </row>
    <row r="222" spans="1:18" x14ac:dyDescent="0.2">
      <c r="A222" s="4">
        <v>46098</v>
      </c>
      <c r="B222" s="1" t="s">
        <v>40</v>
      </c>
      <c r="C222" s="18" t="s">
        <v>24</v>
      </c>
      <c r="D222" s="18">
        <v>3923</v>
      </c>
      <c r="E222" s="18" t="s">
        <v>798</v>
      </c>
      <c r="F222" s="18">
        <v>20.5</v>
      </c>
      <c r="G222" s="18">
        <v>2000</v>
      </c>
      <c r="H222" s="18">
        <v>2</v>
      </c>
      <c r="I222" s="18"/>
      <c r="J222" s="8">
        <f t="shared" si="7"/>
        <v>4000</v>
      </c>
      <c r="K222" s="27">
        <f t="shared" si="6"/>
        <v>4.8780487804878049E-3</v>
      </c>
      <c r="L222" s="18">
        <v>0.1</v>
      </c>
      <c r="M222" s="18"/>
      <c r="N222" s="18"/>
      <c r="O222" s="18"/>
      <c r="P222" s="18"/>
      <c r="R222">
        <f t="shared" ref="R222:R224" si="8">AVERAGEA(J222)-T222-U222</f>
        <v>4000</v>
      </c>
    </row>
    <row r="223" spans="1:18" x14ac:dyDescent="0.2">
      <c r="A223" s="4">
        <v>46098</v>
      </c>
      <c r="B223" s="1" t="s">
        <v>40</v>
      </c>
      <c r="C223" s="18" t="s">
        <v>20</v>
      </c>
      <c r="D223" s="18">
        <v>3916</v>
      </c>
      <c r="E223" s="18" t="s">
        <v>799</v>
      </c>
      <c r="F223" s="18">
        <v>621</v>
      </c>
      <c r="G223" s="18">
        <v>500</v>
      </c>
      <c r="H223" s="18">
        <v>44</v>
      </c>
      <c r="I223" s="18">
        <v>300</v>
      </c>
      <c r="J223" s="8">
        <f t="shared" si="7"/>
        <v>22300</v>
      </c>
      <c r="K223" s="27">
        <f t="shared" si="6"/>
        <v>5.7971014492753624E-3</v>
      </c>
      <c r="L223" s="18">
        <v>3.6</v>
      </c>
      <c r="M223" s="18"/>
      <c r="N223" s="18"/>
      <c r="O223" s="18"/>
      <c r="P223" s="18"/>
      <c r="R223">
        <f t="shared" si="8"/>
        <v>22300</v>
      </c>
    </row>
    <row r="224" spans="1:18" x14ac:dyDescent="0.2">
      <c r="A224" s="4">
        <v>46098</v>
      </c>
      <c r="B224" s="1" t="s">
        <v>40</v>
      </c>
      <c r="C224" s="18" t="s">
        <v>20</v>
      </c>
      <c r="D224" s="18">
        <v>3909</v>
      </c>
      <c r="E224" s="18" t="s">
        <v>709</v>
      </c>
      <c r="F224" s="18">
        <v>153.19999999999999</v>
      </c>
      <c r="G224" s="18">
        <v>1600</v>
      </c>
      <c r="H224" s="18">
        <v>12</v>
      </c>
      <c r="I224" s="18"/>
      <c r="J224" s="8">
        <f t="shared" si="7"/>
        <v>19200</v>
      </c>
      <c r="K224" s="27">
        <f t="shared" si="6"/>
        <v>8.4856396866840739E-3</v>
      </c>
      <c r="L224" s="18">
        <v>1.3</v>
      </c>
      <c r="M224" s="18"/>
      <c r="N224" s="18"/>
      <c r="O224" s="18"/>
      <c r="P224" s="18"/>
      <c r="R224">
        <f t="shared" si="8"/>
        <v>19200</v>
      </c>
    </row>
    <row r="225" spans="1:18" x14ac:dyDescent="0.2">
      <c r="A225" s="4">
        <v>46098</v>
      </c>
      <c r="B225" s="1" t="s">
        <v>40</v>
      </c>
      <c r="C225" s="18" t="s">
        <v>33</v>
      </c>
      <c r="D225" s="18">
        <v>3991</v>
      </c>
      <c r="E225" s="18" t="s">
        <v>57</v>
      </c>
      <c r="F225" s="18">
        <v>249.2</v>
      </c>
      <c r="G225" s="18">
        <v>1000</v>
      </c>
      <c r="H225" s="18">
        <v>17</v>
      </c>
      <c r="I225" s="18">
        <v>390</v>
      </c>
      <c r="J225" s="8">
        <f t="shared" si="7"/>
        <v>17390</v>
      </c>
      <c r="K225" s="27">
        <f t="shared" si="6"/>
        <v>6.8337129840546698E-3</v>
      </c>
      <c r="L225" s="18">
        <v>1.5</v>
      </c>
      <c r="M225" s="18">
        <v>1.4</v>
      </c>
      <c r="N225" s="18"/>
      <c r="O225" s="18">
        <v>29.7</v>
      </c>
      <c r="P225" s="18"/>
      <c r="R225">
        <f>AVERAGEA(J225)-T225-U225</f>
        <v>17390</v>
      </c>
    </row>
    <row r="226" spans="1:18" x14ac:dyDescent="0.2">
      <c r="A226" s="4">
        <v>46099</v>
      </c>
      <c r="B226" s="1" t="s">
        <v>54</v>
      </c>
      <c r="C226" s="18" t="s">
        <v>15</v>
      </c>
      <c r="D226" s="18">
        <v>3920</v>
      </c>
      <c r="E226" s="18" t="s">
        <v>521</v>
      </c>
      <c r="F226" s="18">
        <v>50.7</v>
      </c>
      <c r="G226" s="18">
        <v>600</v>
      </c>
      <c r="H226" s="18">
        <v>6</v>
      </c>
      <c r="I226" s="18">
        <v>85</v>
      </c>
      <c r="J226" s="8">
        <f t="shared" si="7"/>
        <v>3685</v>
      </c>
      <c r="K226" s="27">
        <f t="shared" si="6"/>
        <v>2.9585798816568046E-2</v>
      </c>
      <c r="L226" s="18">
        <v>1.5</v>
      </c>
      <c r="M226" s="18"/>
      <c r="N226" s="18"/>
      <c r="O226" s="18"/>
      <c r="P226" s="18"/>
    </row>
    <row r="227" spans="1:18" x14ac:dyDescent="0.2">
      <c r="A227" s="4">
        <v>46099</v>
      </c>
      <c r="B227" s="1" t="s">
        <v>54</v>
      </c>
      <c r="C227" s="18" t="s">
        <v>20</v>
      </c>
      <c r="D227" s="18">
        <v>3909</v>
      </c>
      <c r="E227" s="18" t="s">
        <v>709</v>
      </c>
      <c r="F227" s="18">
        <v>94.7</v>
      </c>
      <c r="G227" s="18">
        <v>1600</v>
      </c>
      <c r="H227" s="18">
        <v>6</v>
      </c>
      <c r="I227" s="18">
        <v>250</v>
      </c>
      <c r="J227" s="8">
        <f t="shared" si="7"/>
        <v>9850</v>
      </c>
      <c r="K227" s="27">
        <f t="shared" si="6"/>
        <v>0</v>
      </c>
      <c r="L227" s="18"/>
      <c r="M227" s="18"/>
      <c r="N227" s="18"/>
      <c r="O227" s="18"/>
      <c r="P227" s="18"/>
    </row>
    <row r="228" spans="1:18" x14ac:dyDescent="0.2">
      <c r="A228" s="4">
        <v>46099</v>
      </c>
      <c r="B228" s="1" t="s">
        <v>54</v>
      </c>
      <c r="C228" s="18" t="s">
        <v>24</v>
      </c>
      <c r="D228" s="18">
        <v>3923</v>
      </c>
      <c r="E228" s="18" t="s">
        <v>798</v>
      </c>
      <c r="F228" s="18">
        <v>55</v>
      </c>
      <c r="G228" s="18">
        <v>2000</v>
      </c>
      <c r="H228" s="18">
        <v>3</v>
      </c>
      <c r="I228" s="18">
        <v>1700</v>
      </c>
      <c r="J228" s="8">
        <f t="shared" si="7"/>
        <v>7700</v>
      </c>
      <c r="K228" s="27">
        <f t="shared" si="6"/>
        <v>3.6363636363636364E-3</v>
      </c>
      <c r="L228" s="18">
        <v>0.2</v>
      </c>
      <c r="M228" s="18"/>
      <c r="N228" s="18"/>
      <c r="O228" s="18"/>
      <c r="P228" s="18"/>
    </row>
    <row r="229" spans="1:18" x14ac:dyDescent="0.2">
      <c r="A229" s="4">
        <v>46099</v>
      </c>
      <c r="B229" s="1" t="s">
        <v>54</v>
      </c>
      <c r="C229" s="18" t="s">
        <v>27</v>
      </c>
      <c r="D229" s="18">
        <v>3764</v>
      </c>
      <c r="E229" s="18" t="s">
        <v>482</v>
      </c>
      <c r="F229" s="18">
        <v>137.69999999999999</v>
      </c>
      <c r="G229" s="18">
        <v>2000</v>
      </c>
      <c r="H229" s="18">
        <v>29</v>
      </c>
      <c r="I229" s="18"/>
      <c r="J229" s="8">
        <f t="shared" si="7"/>
        <v>58000</v>
      </c>
      <c r="K229" s="27">
        <f t="shared" ref="K229:K292" si="9">IFERROR(L229/(F229-O229)*100%,0)</f>
        <v>7.1895424836601315E-2</v>
      </c>
      <c r="L229" s="18">
        <v>9.9</v>
      </c>
      <c r="M229" s="18"/>
      <c r="N229" s="18"/>
      <c r="O229" s="18"/>
      <c r="P229" s="18"/>
    </row>
    <row r="230" spans="1:18" x14ac:dyDescent="0.2">
      <c r="A230" s="4">
        <v>46099</v>
      </c>
      <c r="B230" s="1" t="s">
        <v>54</v>
      </c>
      <c r="C230" s="18" t="s">
        <v>784</v>
      </c>
      <c r="D230" s="18">
        <v>4063</v>
      </c>
      <c r="E230" s="18" t="s">
        <v>771</v>
      </c>
      <c r="F230" s="18">
        <v>110</v>
      </c>
      <c r="G230" s="18">
        <v>4000</v>
      </c>
      <c r="H230" s="18">
        <v>8</v>
      </c>
      <c r="I230" s="18">
        <v>1400</v>
      </c>
      <c r="J230" s="8">
        <f t="shared" si="7"/>
        <v>33400</v>
      </c>
      <c r="K230" s="27">
        <f t="shared" si="9"/>
        <v>7.8181818181818172E-2</v>
      </c>
      <c r="L230" s="18">
        <v>8.6</v>
      </c>
      <c r="M230" s="18">
        <v>1.28</v>
      </c>
      <c r="N230" s="18"/>
      <c r="O230" s="18"/>
      <c r="P230" s="18"/>
    </row>
    <row r="231" spans="1:18" x14ac:dyDescent="0.2">
      <c r="A231" s="4">
        <v>46099</v>
      </c>
      <c r="B231" s="1" t="s">
        <v>54</v>
      </c>
      <c r="C231" s="18" t="s">
        <v>15</v>
      </c>
      <c r="D231" s="18">
        <v>3769</v>
      </c>
      <c r="E231" s="18" t="s">
        <v>453</v>
      </c>
      <c r="F231" s="18">
        <v>315.7</v>
      </c>
      <c r="G231" s="18">
        <v>1000</v>
      </c>
      <c r="H231" s="18">
        <v>44</v>
      </c>
      <c r="I231" s="18"/>
      <c r="J231" s="8">
        <f t="shared" si="7"/>
        <v>44000</v>
      </c>
      <c r="K231" s="27">
        <f t="shared" si="9"/>
        <v>9.5026924295216978E-3</v>
      </c>
      <c r="L231" s="18">
        <v>3</v>
      </c>
      <c r="M231" s="18">
        <v>2</v>
      </c>
      <c r="N231" s="18"/>
      <c r="O231" s="18"/>
      <c r="P231" s="18"/>
    </row>
    <row r="232" spans="1:18" x14ac:dyDescent="0.2">
      <c r="A232" s="4">
        <v>46099</v>
      </c>
      <c r="B232" s="1" t="s">
        <v>54</v>
      </c>
      <c r="C232" s="18" t="s">
        <v>20</v>
      </c>
      <c r="D232" s="18">
        <v>3908</v>
      </c>
      <c r="E232" s="18" t="s">
        <v>800</v>
      </c>
      <c r="F232" s="18">
        <v>308.3</v>
      </c>
      <c r="G232" s="18">
        <v>1000</v>
      </c>
      <c r="H232" s="18">
        <v>28</v>
      </c>
      <c r="I232" s="18">
        <v>370</v>
      </c>
      <c r="J232" s="8">
        <f t="shared" si="7"/>
        <v>28370</v>
      </c>
      <c r="K232" s="27">
        <f t="shared" si="9"/>
        <v>1.3947453778786895E-2</v>
      </c>
      <c r="L232" s="18">
        <v>4.3</v>
      </c>
      <c r="M232" s="18"/>
      <c r="N232" s="18"/>
      <c r="O232" s="18"/>
      <c r="P232" s="18"/>
    </row>
    <row r="233" spans="1:18" x14ac:dyDescent="0.2">
      <c r="A233" s="4">
        <v>46099</v>
      </c>
      <c r="B233" s="1" t="s">
        <v>54</v>
      </c>
      <c r="C233" s="18" t="s">
        <v>24</v>
      </c>
      <c r="D233" s="18">
        <v>3754</v>
      </c>
      <c r="E233" s="18" t="s">
        <v>801</v>
      </c>
      <c r="F233" s="18">
        <v>750</v>
      </c>
      <c r="G233" s="18">
        <v>500</v>
      </c>
      <c r="H233" s="18">
        <v>59</v>
      </c>
      <c r="I233" s="18">
        <v>200</v>
      </c>
      <c r="J233" s="8">
        <f t="shared" si="7"/>
        <v>29700</v>
      </c>
      <c r="K233" s="27">
        <f t="shared" si="9"/>
        <v>6.2666666666666669E-3</v>
      </c>
      <c r="L233" s="18">
        <v>4.7</v>
      </c>
      <c r="M233" s="18">
        <v>24.6</v>
      </c>
      <c r="N233" s="18"/>
      <c r="O233" s="18"/>
      <c r="P233" s="18"/>
    </row>
    <row r="234" spans="1:18" x14ac:dyDescent="0.2">
      <c r="A234" s="4">
        <v>46099</v>
      </c>
      <c r="B234" s="1" t="s">
        <v>54</v>
      </c>
      <c r="C234" s="18" t="s">
        <v>33</v>
      </c>
      <c r="D234" s="18">
        <v>3945</v>
      </c>
      <c r="E234" s="18" t="s">
        <v>203</v>
      </c>
      <c r="F234" s="18">
        <v>607.4</v>
      </c>
      <c r="G234" s="18">
        <v>400</v>
      </c>
      <c r="H234" s="18">
        <v>29</v>
      </c>
      <c r="I234" s="18">
        <v>250</v>
      </c>
      <c r="J234" s="8">
        <f t="shared" si="7"/>
        <v>11850</v>
      </c>
      <c r="K234" s="27">
        <f t="shared" si="9"/>
        <v>1.3352844338759834E-2</v>
      </c>
      <c r="L234" s="18">
        <v>7.3</v>
      </c>
      <c r="M234" s="18">
        <v>12.3</v>
      </c>
      <c r="N234" s="18"/>
      <c r="O234" s="18">
        <v>60.7</v>
      </c>
      <c r="P234" s="18"/>
    </row>
    <row r="235" spans="1:18" x14ac:dyDescent="0.2">
      <c r="A235" s="4">
        <v>46099</v>
      </c>
      <c r="B235" s="1" t="s">
        <v>54</v>
      </c>
      <c r="C235" s="18" t="s">
        <v>20</v>
      </c>
      <c r="D235" s="18">
        <v>3911</v>
      </c>
      <c r="E235" s="18" t="s">
        <v>802</v>
      </c>
      <c r="F235" s="18">
        <v>303.5</v>
      </c>
      <c r="G235" s="18">
        <v>1000</v>
      </c>
      <c r="H235" s="18">
        <v>22</v>
      </c>
      <c r="I235" s="18"/>
      <c r="J235" s="8">
        <f t="shared" si="7"/>
        <v>22000</v>
      </c>
      <c r="K235" s="27">
        <f t="shared" si="9"/>
        <v>9.2257001647446449E-3</v>
      </c>
      <c r="L235" s="18">
        <v>2.8</v>
      </c>
      <c r="M235" s="18"/>
      <c r="N235" s="18"/>
      <c r="O235" s="18"/>
      <c r="P235" s="18"/>
    </row>
    <row r="236" spans="1:18" x14ac:dyDescent="0.2">
      <c r="A236" s="23">
        <v>46100</v>
      </c>
      <c r="B236" s="1" t="s">
        <v>423</v>
      </c>
      <c r="C236" s="18" t="s">
        <v>15</v>
      </c>
      <c r="D236" s="18">
        <v>3769</v>
      </c>
      <c r="E236" s="18" t="s">
        <v>453</v>
      </c>
      <c r="F236" s="18">
        <v>238</v>
      </c>
      <c r="G236" s="18">
        <v>1000</v>
      </c>
      <c r="H236" s="18">
        <v>42</v>
      </c>
      <c r="I236" s="18"/>
      <c r="J236" s="8">
        <f t="shared" si="7"/>
        <v>42000</v>
      </c>
      <c r="K236" s="27">
        <f t="shared" si="9"/>
        <v>6.3025210084033615E-3</v>
      </c>
      <c r="L236" s="18">
        <v>1.5</v>
      </c>
      <c r="M236" s="18">
        <v>5.5</v>
      </c>
      <c r="N236" s="18"/>
      <c r="O236" s="18"/>
      <c r="P236" s="18"/>
    </row>
    <row r="237" spans="1:18" x14ac:dyDescent="0.2">
      <c r="A237" s="23">
        <v>46100</v>
      </c>
      <c r="B237" s="1" t="s">
        <v>423</v>
      </c>
      <c r="C237" s="18" t="s">
        <v>15</v>
      </c>
      <c r="D237" s="18">
        <v>3889</v>
      </c>
      <c r="E237" s="18" t="s">
        <v>803</v>
      </c>
      <c r="F237" s="18">
        <v>156.4</v>
      </c>
      <c r="G237" s="18">
        <v>500</v>
      </c>
      <c r="H237" s="18">
        <v>22</v>
      </c>
      <c r="I237" s="18">
        <v>100</v>
      </c>
      <c r="J237" s="8">
        <f t="shared" si="7"/>
        <v>11100</v>
      </c>
      <c r="K237" s="27">
        <f t="shared" si="9"/>
        <v>1.1010362694300517E-2</v>
      </c>
      <c r="L237" s="18">
        <v>1.7</v>
      </c>
      <c r="M237" s="18">
        <v>0.7</v>
      </c>
      <c r="N237" s="18"/>
      <c r="O237" s="18">
        <v>2</v>
      </c>
      <c r="P237" s="18"/>
    </row>
    <row r="238" spans="1:18" x14ac:dyDescent="0.2">
      <c r="A238" s="23">
        <v>46100</v>
      </c>
      <c r="B238" s="1" t="s">
        <v>423</v>
      </c>
      <c r="C238" s="18" t="s">
        <v>15</v>
      </c>
      <c r="D238" s="18">
        <v>3943</v>
      </c>
      <c r="E238" s="18" t="s">
        <v>804</v>
      </c>
      <c r="F238" s="18">
        <v>49</v>
      </c>
      <c r="G238" s="18">
        <v>800</v>
      </c>
      <c r="H238" s="18">
        <v>6</v>
      </c>
      <c r="I238" s="18"/>
      <c r="J238" s="8">
        <f t="shared" si="7"/>
        <v>4800</v>
      </c>
      <c r="K238" s="27">
        <f t="shared" si="9"/>
        <v>1.020408163265306E-2</v>
      </c>
      <c r="L238" s="18">
        <v>0.5</v>
      </c>
      <c r="M238" s="18"/>
      <c r="N238" s="18"/>
      <c r="O238" s="18"/>
      <c r="P238" s="18"/>
    </row>
    <row r="239" spans="1:18" x14ac:dyDescent="0.2">
      <c r="A239" s="23">
        <v>46100</v>
      </c>
      <c r="B239" s="1" t="s">
        <v>423</v>
      </c>
      <c r="C239" s="18" t="s">
        <v>20</v>
      </c>
      <c r="D239" s="18">
        <v>3911</v>
      </c>
      <c r="E239" s="18" t="s">
        <v>802</v>
      </c>
      <c r="F239" s="18">
        <v>206</v>
      </c>
      <c r="G239" s="18">
        <v>1000</v>
      </c>
      <c r="H239" s="18">
        <v>14</v>
      </c>
      <c r="I239" s="18">
        <v>350</v>
      </c>
      <c r="J239" s="8">
        <f t="shared" si="7"/>
        <v>14350</v>
      </c>
      <c r="K239" s="27">
        <f t="shared" si="9"/>
        <v>2.9126213592233011E-3</v>
      </c>
      <c r="L239" s="18">
        <v>0.6</v>
      </c>
      <c r="M239" s="18"/>
      <c r="N239" s="18"/>
      <c r="O239" s="18"/>
      <c r="P239" s="18"/>
    </row>
    <row r="240" spans="1:18" x14ac:dyDescent="0.2">
      <c r="A240" s="23">
        <v>46100</v>
      </c>
      <c r="B240" s="1" t="s">
        <v>423</v>
      </c>
      <c r="C240" s="18" t="s">
        <v>20</v>
      </c>
      <c r="D240" s="18">
        <v>3695</v>
      </c>
      <c r="E240" s="18" t="s">
        <v>540</v>
      </c>
      <c r="F240" s="18">
        <v>224</v>
      </c>
      <c r="G240" s="18">
        <v>400</v>
      </c>
      <c r="H240" s="18">
        <v>15</v>
      </c>
      <c r="I240" s="18"/>
      <c r="J240" s="8">
        <f t="shared" si="7"/>
        <v>6000</v>
      </c>
      <c r="K240" s="27">
        <f t="shared" si="9"/>
        <v>1.6071428571428573E-2</v>
      </c>
      <c r="L240" s="18">
        <v>3.6</v>
      </c>
      <c r="M240" s="18"/>
      <c r="N240" s="18"/>
      <c r="O240" s="18"/>
      <c r="P240" s="18"/>
    </row>
    <row r="241" spans="1:16" x14ac:dyDescent="0.2">
      <c r="A241" s="23">
        <v>46100</v>
      </c>
      <c r="B241" s="1" t="s">
        <v>423</v>
      </c>
      <c r="C241" s="18" t="s">
        <v>20</v>
      </c>
      <c r="D241" s="18">
        <v>3948</v>
      </c>
      <c r="E241" s="18" t="s">
        <v>805</v>
      </c>
      <c r="F241" s="18">
        <v>1094</v>
      </c>
      <c r="G241" s="18">
        <v>300</v>
      </c>
      <c r="H241" s="18">
        <v>66</v>
      </c>
      <c r="I241" s="18">
        <v>90</v>
      </c>
      <c r="J241" s="8">
        <f t="shared" si="7"/>
        <v>19890</v>
      </c>
      <c r="K241" s="27">
        <f t="shared" si="9"/>
        <v>1.069469835466179E-2</v>
      </c>
      <c r="L241" s="18">
        <v>11.7</v>
      </c>
      <c r="M241" s="18"/>
      <c r="N241" s="18"/>
      <c r="O241" s="18"/>
      <c r="P241" s="18"/>
    </row>
    <row r="242" spans="1:16" x14ac:dyDescent="0.2">
      <c r="A242" s="23">
        <v>46100</v>
      </c>
      <c r="B242" s="1" t="s">
        <v>423</v>
      </c>
      <c r="C242" s="18" t="s">
        <v>20</v>
      </c>
      <c r="D242" s="18">
        <v>4076</v>
      </c>
      <c r="E242" s="18" t="s">
        <v>582</v>
      </c>
      <c r="F242" s="18">
        <v>167</v>
      </c>
      <c r="G242" s="18">
        <v>1300</v>
      </c>
      <c r="H242" s="18">
        <v>17</v>
      </c>
      <c r="I242" s="18"/>
      <c r="J242" s="8">
        <f t="shared" si="7"/>
        <v>22100</v>
      </c>
      <c r="K242" s="27">
        <f t="shared" si="9"/>
        <v>0</v>
      </c>
      <c r="L242" s="18"/>
      <c r="M242" s="18"/>
      <c r="N242" s="18"/>
      <c r="O242" s="18"/>
      <c r="P242" s="18"/>
    </row>
    <row r="243" spans="1:16" x14ac:dyDescent="0.2">
      <c r="A243" s="23">
        <v>46100</v>
      </c>
      <c r="B243" s="1" t="s">
        <v>423</v>
      </c>
      <c r="C243" s="18" t="s">
        <v>24</v>
      </c>
      <c r="D243" s="18">
        <v>3941</v>
      </c>
      <c r="E243" s="18" t="s">
        <v>194</v>
      </c>
      <c r="F243" s="18">
        <v>66</v>
      </c>
      <c r="G243" s="18">
        <v>5000</v>
      </c>
      <c r="H243" s="18">
        <v>10</v>
      </c>
      <c r="I243" s="18">
        <v>4000</v>
      </c>
      <c r="J243" s="8">
        <f t="shared" si="7"/>
        <v>54000</v>
      </c>
      <c r="K243" s="27">
        <f t="shared" si="9"/>
        <v>6.2121212121212119E-2</v>
      </c>
      <c r="L243" s="18">
        <v>4.0999999999999996</v>
      </c>
      <c r="M243" s="18"/>
      <c r="N243" s="18"/>
      <c r="O243" s="18"/>
      <c r="P243" s="18"/>
    </row>
    <row r="244" spans="1:16" x14ac:dyDescent="0.2">
      <c r="A244" s="23">
        <v>46100</v>
      </c>
      <c r="B244" s="1" t="s">
        <v>423</v>
      </c>
      <c r="C244" s="18" t="s">
        <v>27</v>
      </c>
      <c r="D244" s="18">
        <v>3764</v>
      </c>
      <c r="E244" s="18" t="s">
        <v>482</v>
      </c>
      <c r="F244" s="18">
        <v>157.5</v>
      </c>
      <c r="G244" s="18">
        <v>2000</v>
      </c>
      <c r="H244" s="18">
        <v>21</v>
      </c>
      <c r="I244" s="18">
        <v>400</v>
      </c>
      <c r="J244" s="8">
        <f t="shared" si="7"/>
        <v>42400</v>
      </c>
      <c r="K244" s="27">
        <f t="shared" si="9"/>
        <v>0</v>
      </c>
      <c r="L244" s="18"/>
      <c r="M244" s="18">
        <v>5.0999999999999996</v>
      </c>
      <c r="N244" s="18"/>
      <c r="O244" s="18"/>
      <c r="P244" s="18"/>
    </row>
    <row r="245" spans="1:16" x14ac:dyDescent="0.2">
      <c r="A245" s="23">
        <v>46100</v>
      </c>
      <c r="B245" s="1" t="s">
        <v>423</v>
      </c>
      <c r="C245" s="18" t="s">
        <v>27</v>
      </c>
      <c r="D245" s="18">
        <v>3900</v>
      </c>
      <c r="E245" s="18" t="s">
        <v>806</v>
      </c>
      <c r="F245" s="18">
        <v>54</v>
      </c>
      <c r="G245" s="18">
        <v>2000</v>
      </c>
      <c r="H245" s="18">
        <v>5</v>
      </c>
      <c r="I245" s="18"/>
      <c r="J245" s="8">
        <f t="shared" si="7"/>
        <v>10000</v>
      </c>
      <c r="K245" s="27">
        <f t="shared" si="9"/>
        <v>1.2962962962962963E-2</v>
      </c>
      <c r="L245" s="18">
        <v>0.7</v>
      </c>
      <c r="M245" s="18"/>
      <c r="N245" s="18">
        <v>0.6</v>
      </c>
      <c r="O245" s="18"/>
      <c r="P245" s="18"/>
    </row>
    <row r="246" spans="1:16" x14ac:dyDescent="0.2">
      <c r="A246" s="23">
        <v>46100</v>
      </c>
      <c r="B246" s="1" t="s">
        <v>423</v>
      </c>
      <c r="C246" s="18" t="s">
        <v>784</v>
      </c>
      <c r="D246" s="18">
        <v>4029</v>
      </c>
      <c r="E246" s="18" t="s">
        <v>741</v>
      </c>
      <c r="F246" s="18">
        <v>43</v>
      </c>
      <c r="G246" s="18">
        <v>3000</v>
      </c>
      <c r="H246" s="18">
        <v>3</v>
      </c>
      <c r="I246" s="18">
        <v>1600</v>
      </c>
      <c r="J246" s="8">
        <f t="shared" si="7"/>
        <v>10600</v>
      </c>
      <c r="K246" s="27">
        <f t="shared" si="9"/>
        <v>0.16744186046511628</v>
      </c>
      <c r="L246" s="18">
        <v>7.2</v>
      </c>
      <c r="M246" s="18"/>
      <c r="N246" s="18"/>
      <c r="O246" s="18"/>
      <c r="P246" s="18"/>
    </row>
    <row r="247" spans="1:16" x14ac:dyDescent="0.2">
      <c r="A247" s="23">
        <v>46100</v>
      </c>
      <c r="B247" s="1" t="s">
        <v>423</v>
      </c>
      <c r="C247" s="18" t="s">
        <v>784</v>
      </c>
      <c r="D247" s="18">
        <v>3767</v>
      </c>
      <c r="E247" s="18" t="s">
        <v>64</v>
      </c>
      <c r="F247" s="18">
        <v>240.4</v>
      </c>
      <c r="G247" s="18">
        <v>2000</v>
      </c>
      <c r="H247" s="18">
        <v>30</v>
      </c>
      <c r="I247" s="18"/>
      <c r="J247" s="8">
        <f t="shared" si="7"/>
        <v>60000</v>
      </c>
      <c r="K247" s="27">
        <f t="shared" si="9"/>
        <v>4.5757071547420966E-2</v>
      </c>
      <c r="L247" s="18">
        <v>11</v>
      </c>
      <c r="M247" s="18"/>
      <c r="N247" s="18">
        <v>15</v>
      </c>
      <c r="O247" s="18"/>
      <c r="P247" s="18"/>
    </row>
    <row r="248" spans="1:16" x14ac:dyDescent="0.2">
      <c r="A248" s="23">
        <v>46101</v>
      </c>
      <c r="B248" s="1" t="s">
        <v>40</v>
      </c>
      <c r="C248" s="18" t="s">
        <v>15</v>
      </c>
      <c r="D248" s="18">
        <v>3943</v>
      </c>
      <c r="E248" s="18" t="s">
        <v>804</v>
      </c>
      <c r="F248" s="18">
        <v>75.5</v>
      </c>
      <c r="G248" s="18">
        <v>800</v>
      </c>
      <c r="H248" s="18">
        <v>8</v>
      </c>
      <c r="I248" s="18">
        <v>170</v>
      </c>
      <c r="J248" s="8">
        <f t="shared" si="7"/>
        <v>6570</v>
      </c>
      <c r="K248" s="27">
        <f t="shared" si="9"/>
        <v>3.9735099337748344E-3</v>
      </c>
      <c r="L248" s="18">
        <v>0.3</v>
      </c>
      <c r="M248" s="18"/>
      <c r="N248" s="18"/>
      <c r="O248" s="18"/>
      <c r="P248" s="18"/>
    </row>
    <row r="249" spans="1:16" x14ac:dyDescent="0.2">
      <c r="A249" s="23">
        <v>46101</v>
      </c>
      <c r="B249" s="1" t="s">
        <v>40</v>
      </c>
      <c r="C249" s="18" t="s">
        <v>15</v>
      </c>
      <c r="D249" s="18">
        <v>3992</v>
      </c>
      <c r="E249" s="18" t="s">
        <v>247</v>
      </c>
      <c r="F249" s="18">
        <v>134</v>
      </c>
      <c r="G249" s="18">
        <v>500</v>
      </c>
      <c r="H249" s="18">
        <v>16</v>
      </c>
      <c r="I249" s="18"/>
      <c r="J249" s="8">
        <f t="shared" si="7"/>
        <v>8000</v>
      </c>
      <c r="K249" s="27">
        <f t="shared" si="9"/>
        <v>8.9552238805970154E-3</v>
      </c>
      <c r="L249" s="18">
        <v>1.2</v>
      </c>
      <c r="M249" s="18"/>
      <c r="N249" s="18"/>
      <c r="O249" s="18"/>
      <c r="P249" s="18"/>
    </row>
    <row r="250" spans="1:16" x14ac:dyDescent="0.2">
      <c r="A250" s="23">
        <v>46101</v>
      </c>
      <c r="B250" s="1" t="s">
        <v>40</v>
      </c>
      <c r="C250" s="18" t="s">
        <v>15</v>
      </c>
      <c r="D250" s="18">
        <v>3968</v>
      </c>
      <c r="E250" s="18" t="s">
        <v>807</v>
      </c>
      <c r="F250" s="18">
        <v>404.2</v>
      </c>
      <c r="G250" s="18">
        <v>500</v>
      </c>
      <c r="H250" s="18">
        <v>46</v>
      </c>
      <c r="I250" s="18"/>
      <c r="J250" s="8">
        <f t="shared" si="7"/>
        <v>23000</v>
      </c>
      <c r="K250" s="27">
        <f t="shared" si="9"/>
        <v>1.0390895596239486E-2</v>
      </c>
      <c r="L250" s="18">
        <v>4.2</v>
      </c>
      <c r="M250" s="18"/>
      <c r="N250" s="18"/>
      <c r="O250" s="18"/>
      <c r="P250" s="18"/>
    </row>
    <row r="251" spans="1:16" x14ac:dyDescent="0.2">
      <c r="A251" s="23">
        <v>46101</v>
      </c>
      <c r="B251" s="1" t="s">
        <v>40</v>
      </c>
      <c r="C251" s="18" t="s">
        <v>20</v>
      </c>
      <c r="D251" s="18">
        <v>4076</v>
      </c>
      <c r="E251" s="18" t="s">
        <v>582</v>
      </c>
      <c r="F251" s="18">
        <v>88.3</v>
      </c>
      <c r="G251" s="18">
        <v>1300</v>
      </c>
      <c r="H251" s="18">
        <v>4</v>
      </c>
      <c r="I251" s="18">
        <v>900</v>
      </c>
      <c r="J251" s="8">
        <f t="shared" si="7"/>
        <v>6100</v>
      </c>
      <c r="K251" s="27">
        <f t="shared" si="9"/>
        <v>5.6625141562853913E-3</v>
      </c>
      <c r="L251" s="18">
        <v>0.5</v>
      </c>
      <c r="M251" s="18"/>
      <c r="N251" s="18"/>
      <c r="O251" s="18"/>
      <c r="P251" s="18"/>
    </row>
    <row r="252" spans="1:16" x14ac:dyDescent="0.2">
      <c r="A252" s="23">
        <v>46101</v>
      </c>
      <c r="B252" s="1" t="s">
        <v>40</v>
      </c>
      <c r="C252" s="18" t="s">
        <v>20</v>
      </c>
      <c r="D252" s="18">
        <v>3730</v>
      </c>
      <c r="E252" s="18" t="s">
        <v>543</v>
      </c>
      <c r="F252" s="18">
        <v>86.5</v>
      </c>
      <c r="G252" s="18">
        <v>4000</v>
      </c>
      <c r="H252" s="18">
        <v>14</v>
      </c>
      <c r="I252" s="18"/>
      <c r="J252" s="8">
        <f t="shared" si="7"/>
        <v>56000</v>
      </c>
      <c r="K252" s="27">
        <f t="shared" si="9"/>
        <v>1.7341040462427744E-2</v>
      </c>
      <c r="L252" s="18">
        <v>1.5</v>
      </c>
      <c r="M252" s="18"/>
      <c r="N252" s="18"/>
      <c r="O252" s="18"/>
      <c r="P252" s="18"/>
    </row>
    <row r="253" spans="1:16" x14ac:dyDescent="0.2">
      <c r="A253" s="23">
        <v>46101</v>
      </c>
      <c r="B253" s="1" t="s">
        <v>40</v>
      </c>
      <c r="C253" s="18" t="s">
        <v>27</v>
      </c>
      <c r="D253" s="18">
        <v>4032</v>
      </c>
      <c r="E253" s="18" t="s">
        <v>808</v>
      </c>
      <c r="F253" s="18">
        <v>229.3</v>
      </c>
      <c r="G253" s="18">
        <v>3000</v>
      </c>
      <c r="H253" s="18">
        <v>27</v>
      </c>
      <c r="I253" s="18"/>
      <c r="J253" s="8">
        <f t="shared" si="7"/>
        <v>81000</v>
      </c>
      <c r="K253" s="27">
        <f t="shared" si="9"/>
        <v>4.7972088966419541E-3</v>
      </c>
      <c r="L253" s="18">
        <v>1.1000000000000001</v>
      </c>
      <c r="M253" s="18">
        <v>1.9</v>
      </c>
      <c r="N253" s="18"/>
      <c r="O253" s="18"/>
      <c r="P253" s="18"/>
    </row>
    <row r="254" spans="1:16" x14ac:dyDescent="0.2">
      <c r="A254" s="23">
        <v>46101</v>
      </c>
      <c r="B254" s="1" t="s">
        <v>40</v>
      </c>
      <c r="C254" s="18" t="s">
        <v>24</v>
      </c>
      <c r="D254" s="18">
        <v>3900</v>
      </c>
      <c r="E254" s="18" t="s">
        <v>806</v>
      </c>
      <c r="F254" s="18">
        <v>27</v>
      </c>
      <c r="G254" s="18">
        <v>2000</v>
      </c>
      <c r="H254" s="18">
        <v>6</v>
      </c>
      <c r="I254" s="18">
        <v>500</v>
      </c>
      <c r="J254" s="8">
        <f t="shared" si="7"/>
        <v>12500</v>
      </c>
      <c r="K254" s="27">
        <f t="shared" si="9"/>
        <v>2.2222222222222223E-2</v>
      </c>
      <c r="L254" s="18">
        <v>0.6</v>
      </c>
      <c r="M254" s="18"/>
      <c r="N254" s="18"/>
      <c r="O254" s="18"/>
      <c r="P254" s="18"/>
    </row>
    <row r="255" spans="1:16" x14ac:dyDescent="0.2">
      <c r="A255" s="23">
        <v>46101</v>
      </c>
      <c r="B255" s="1" t="s">
        <v>40</v>
      </c>
      <c r="C255" s="18" t="s">
        <v>24</v>
      </c>
      <c r="D255" s="18">
        <v>3899</v>
      </c>
      <c r="E255" s="18" t="s">
        <v>809</v>
      </c>
      <c r="F255" s="18">
        <v>98</v>
      </c>
      <c r="G255" s="18">
        <v>2000</v>
      </c>
      <c r="H255" s="18">
        <v>15</v>
      </c>
      <c r="I255" s="18">
        <v>1825</v>
      </c>
      <c r="J255" s="8">
        <f t="shared" si="7"/>
        <v>31825</v>
      </c>
      <c r="K255" s="27">
        <f t="shared" si="9"/>
        <v>6.3694267515923561E-3</v>
      </c>
      <c r="L255" s="18">
        <v>0.6</v>
      </c>
      <c r="M255" s="18"/>
      <c r="N255" s="18"/>
      <c r="O255" s="18">
        <v>3.8</v>
      </c>
      <c r="P255" s="18"/>
    </row>
    <row r="256" spans="1:16" x14ac:dyDescent="0.2">
      <c r="A256" s="23">
        <v>46101</v>
      </c>
      <c r="B256" s="1" t="s">
        <v>40</v>
      </c>
      <c r="C256" s="18" t="s">
        <v>784</v>
      </c>
      <c r="D256" s="18">
        <v>3767</v>
      </c>
      <c r="E256" s="18" t="s">
        <v>64</v>
      </c>
      <c r="F256" s="18">
        <v>37</v>
      </c>
      <c r="G256" s="18">
        <v>2000</v>
      </c>
      <c r="H256" s="18">
        <v>2</v>
      </c>
      <c r="I256" s="18">
        <v>200</v>
      </c>
      <c r="J256" s="8">
        <f t="shared" si="7"/>
        <v>4200</v>
      </c>
      <c r="K256" s="27">
        <f t="shared" si="9"/>
        <v>0</v>
      </c>
      <c r="L256" s="18"/>
      <c r="M256" s="18"/>
      <c r="N256" s="18"/>
      <c r="O256" s="18"/>
      <c r="P256" s="18"/>
    </row>
    <row r="257" spans="1:16" x14ac:dyDescent="0.2">
      <c r="A257" s="23">
        <v>46101</v>
      </c>
      <c r="B257" s="1" t="s">
        <v>40</v>
      </c>
      <c r="C257" s="18" t="s">
        <v>784</v>
      </c>
      <c r="D257" s="18">
        <v>3767</v>
      </c>
      <c r="E257" s="18" t="s">
        <v>653</v>
      </c>
      <c r="F257" s="18">
        <v>47.7</v>
      </c>
      <c r="G257" s="18">
        <v>2000</v>
      </c>
      <c r="H257" s="18">
        <v>11</v>
      </c>
      <c r="I257" s="18">
        <v>1500</v>
      </c>
      <c r="J257" s="8">
        <f t="shared" si="7"/>
        <v>23500</v>
      </c>
      <c r="K257" s="27">
        <f t="shared" si="9"/>
        <v>6.2893081761006289E-2</v>
      </c>
      <c r="L257" s="18">
        <v>3</v>
      </c>
      <c r="M257" s="18"/>
      <c r="N257" s="18">
        <v>6</v>
      </c>
      <c r="O257" s="18"/>
      <c r="P257" s="18"/>
    </row>
    <row r="258" spans="1:16" x14ac:dyDescent="0.2">
      <c r="A258" s="23">
        <v>46101</v>
      </c>
      <c r="B258" s="1" t="s">
        <v>40</v>
      </c>
      <c r="C258" s="18" t="s">
        <v>15</v>
      </c>
      <c r="D258" s="18">
        <v>3875</v>
      </c>
      <c r="E258" s="18" t="s">
        <v>606</v>
      </c>
      <c r="F258" s="18">
        <v>772.7</v>
      </c>
      <c r="G258" s="18">
        <v>500</v>
      </c>
      <c r="H258" s="18">
        <v>70</v>
      </c>
      <c r="I258" s="18"/>
      <c r="J258" s="8">
        <f t="shared" si="7"/>
        <v>35000</v>
      </c>
      <c r="K258" s="27">
        <f t="shared" si="9"/>
        <v>6.7296492817393557E-3</v>
      </c>
      <c r="L258" s="18">
        <v>5.2</v>
      </c>
      <c r="M258" s="18"/>
      <c r="N258" s="18">
        <v>11.5</v>
      </c>
      <c r="O258" s="18"/>
      <c r="P258" s="18"/>
    </row>
    <row r="259" spans="1:16" x14ac:dyDescent="0.2">
      <c r="A259" s="23">
        <v>46101</v>
      </c>
      <c r="B259" s="1" t="s">
        <v>40</v>
      </c>
      <c r="C259" s="18" t="s">
        <v>24</v>
      </c>
      <c r="D259" s="18">
        <v>3704</v>
      </c>
      <c r="E259" s="18" t="s">
        <v>810</v>
      </c>
      <c r="F259" s="18">
        <v>189.2</v>
      </c>
      <c r="G259" s="18">
        <v>1000</v>
      </c>
      <c r="H259" s="18">
        <v>18</v>
      </c>
      <c r="I259" s="18">
        <v>193</v>
      </c>
      <c r="J259" s="8">
        <f t="shared" ref="J259:J322" si="10">G259*H259+I259</f>
        <v>18193</v>
      </c>
      <c r="K259" s="27">
        <f t="shared" si="9"/>
        <v>1.0570824524312896E-2</v>
      </c>
      <c r="L259" s="18">
        <v>2</v>
      </c>
      <c r="M259" s="18">
        <v>2.9</v>
      </c>
      <c r="N259" s="18"/>
      <c r="O259" s="18"/>
      <c r="P259" s="18"/>
    </row>
    <row r="260" spans="1:16" x14ac:dyDescent="0.2">
      <c r="A260" s="23">
        <v>46101</v>
      </c>
      <c r="B260" s="1" t="s">
        <v>40</v>
      </c>
      <c r="C260" s="18" t="s">
        <v>33</v>
      </c>
      <c r="D260" s="18">
        <v>3829</v>
      </c>
      <c r="E260" s="18" t="s">
        <v>811</v>
      </c>
      <c r="F260" s="18">
        <v>559.70000000000005</v>
      </c>
      <c r="G260" s="18">
        <v>500</v>
      </c>
      <c r="H260" s="18">
        <v>46</v>
      </c>
      <c r="I260" s="18">
        <v>330</v>
      </c>
      <c r="J260" s="8">
        <f t="shared" si="10"/>
        <v>23330</v>
      </c>
      <c r="K260" s="27">
        <f t="shared" si="9"/>
        <v>8.1119448387750957E-3</v>
      </c>
      <c r="L260" s="18">
        <v>4</v>
      </c>
      <c r="M260" s="18">
        <v>8.8000000000000007</v>
      </c>
      <c r="N260" s="18"/>
      <c r="O260" s="18">
        <v>66.599999999999994</v>
      </c>
      <c r="P260" s="18"/>
    </row>
    <row r="261" spans="1:16" x14ac:dyDescent="0.2">
      <c r="A261" s="23">
        <v>46101</v>
      </c>
      <c r="B261" s="1" t="s">
        <v>40</v>
      </c>
      <c r="C261" s="18" t="s">
        <v>24</v>
      </c>
      <c r="D261" s="18">
        <v>3650</v>
      </c>
      <c r="E261" s="18" t="s">
        <v>541</v>
      </c>
      <c r="F261" s="18">
        <v>50.3</v>
      </c>
      <c r="G261" s="18">
        <v>500</v>
      </c>
      <c r="H261" s="18">
        <v>4</v>
      </c>
      <c r="I261" s="18"/>
      <c r="J261" s="8">
        <f t="shared" si="10"/>
        <v>2000</v>
      </c>
      <c r="K261" s="27">
        <f t="shared" si="9"/>
        <v>1.2552301255230125E-2</v>
      </c>
      <c r="L261" s="18">
        <v>0.6</v>
      </c>
      <c r="M261" s="18"/>
      <c r="N261" s="18"/>
      <c r="O261" s="18">
        <v>2.5</v>
      </c>
      <c r="P261" s="18"/>
    </row>
    <row r="262" spans="1:16" x14ac:dyDescent="0.2">
      <c r="A262" s="23">
        <v>46102</v>
      </c>
      <c r="B262" s="1" t="s">
        <v>54</v>
      </c>
      <c r="C262" s="18" t="s">
        <v>15</v>
      </c>
      <c r="D262" s="18">
        <v>3950</v>
      </c>
      <c r="E262" s="18" t="s">
        <v>812</v>
      </c>
      <c r="F262" s="18">
        <v>248.1</v>
      </c>
      <c r="G262" s="18">
        <v>250</v>
      </c>
      <c r="H262" s="18">
        <v>27</v>
      </c>
      <c r="I262" s="18"/>
      <c r="J262" s="8">
        <f t="shared" si="10"/>
        <v>6750</v>
      </c>
      <c r="K262" s="27">
        <f t="shared" si="9"/>
        <v>2.0959290608625555E-2</v>
      </c>
      <c r="L262" s="18">
        <v>5.2</v>
      </c>
      <c r="M262" s="18"/>
      <c r="N262" s="18"/>
      <c r="O262" s="18"/>
      <c r="P262" s="18"/>
    </row>
    <row r="263" spans="1:16" x14ac:dyDescent="0.2">
      <c r="A263" s="23">
        <v>46102</v>
      </c>
      <c r="B263" s="1" t="s">
        <v>54</v>
      </c>
      <c r="C263" s="18" t="s">
        <v>20</v>
      </c>
      <c r="D263" s="18">
        <v>3730</v>
      </c>
      <c r="E263" s="18" t="s">
        <v>543</v>
      </c>
      <c r="F263" s="18">
        <v>98.3</v>
      </c>
      <c r="G263" s="18">
        <v>4000</v>
      </c>
      <c r="H263" s="18">
        <v>12</v>
      </c>
      <c r="I263" s="18">
        <v>1600</v>
      </c>
      <c r="J263" s="8">
        <f t="shared" si="10"/>
        <v>49600</v>
      </c>
      <c r="K263" s="27">
        <f t="shared" si="9"/>
        <v>1.7293997965412006E-2</v>
      </c>
      <c r="L263" s="18">
        <v>1.7</v>
      </c>
      <c r="M263" s="18">
        <v>1.7</v>
      </c>
      <c r="N263" s="18"/>
      <c r="O263" s="18"/>
      <c r="P263" s="18"/>
    </row>
    <row r="264" spans="1:16" x14ac:dyDescent="0.2">
      <c r="A264" s="23">
        <v>46102</v>
      </c>
      <c r="B264" s="1" t="s">
        <v>54</v>
      </c>
      <c r="C264" s="18" t="s">
        <v>33</v>
      </c>
      <c r="D264" s="18">
        <v>3925</v>
      </c>
      <c r="E264" s="18" t="s">
        <v>813</v>
      </c>
      <c r="F264" s="18">
        <v>225.8</v>
      </c>
      <c r="G264" s="18">
        <v>400</v>
      </c>
      <c r="H264" s="18">
        <v>12</v>
      </c>
      <c r="I264" s="18">
        <v>270</v>
      </c>
      <c r="J264" s="8">
        <f t="shared" si="10"/>
        <v>5070</v>
      </c>
      <c r="K264" s="27">
        <f t="shared" si="9"/>
        <v>7.9760717846460612E-3</v>
      </c>
      <c r="L264" s="18">
        <v>1.6</v>
      </c>
      <c r="M264" s="18"/>
      <c r="N264" s="18"/>
      <c r="O264" s="18">
        <v>25.2</v>
      </c>
      <c r="P264" s="18"/>
    </row>
    <row r="265" spans="1:16" x14ac:dyDescent="0.2">
      <c r="A265" s="23">
        <v>46102</v>
      </c>
      <c r="B265" s="1" t="s">
        <v>54</v>
      </c>
      <c r="C265" s="18" t="s">
        <v>24</v>
      </c>
      <c r="D265" s="18">
        <v>3650</v>
      </c>
      <c r="E265" s="18" t="s">
        <v>541</v>
      </c>
      <c r="F265" s="18">
        <v>267.60000000000002</v>
      </c>
      <c r="G265" s="18">
        <v>500</v>
      </c>
      <c r="H265" s="18">
        <v>36</v>
      </c>
      <c r="I265" s="18">
        <v>200</v>
      </c>
      <c r="J265" s="8">
        <f t="shared" si="10"/>
        <v>18200</v>
      </c>
      <c r="K265" s="27">
        <f t="shared" si="9"/>
        <v>7.5786282682834393E-3</v>
      </c>
      <c r="L265" s="18">
        <v>2</v>
      </c>
      <c r="M265" s="18">
        <v>7.6</v>
      </c>
      <c r="N265" s="18"/>
      <c r="O265" s="18">
        <v>3.7</v>
      </c>
      <c r="P265" s="18"/>
    </row>
    <row r="266" spans="1:16" x14ac:dyDescent="0.2">
      <c r="A266" s="23">
        <v>46102</v>
      </c>
      <c r="B266" s="1" t="s">
        <v>54</v>
      </c>
      <c r="C266" s="18" t="s">
        <v>27</v>
      </c>
      <c r="D266" s="18">
        <v>4032</v>
      </c>
      <c r="E266" s="18" t="s">
        <v>808</v>
      </c>
      <c r="F266" s="18"/>
      <c r="G266" s="18">
        <v>3000</v>
      </c>
      <c r="H266" s="18"/>
      <c r="I266" s="18">
        <v>3200</v>
      </c>
      <c r="J266" s="8">
        <f t="shared" si="10"/>
        <v>3200</v>
      </c>
      <c r="K266" s="27">
        <f t="shared" si="9"/>
        <v>0</v>
      </c>
      <c r="L266" s="18"/>
      <c r="M266" s="18"/>
      <c r="N266" s="18"/>
      <c r="O266" s="18"/>
      <c r="P266" s="18"/>
    </row>
    <row r="267" spans="1:16" x14ac:dyDescent="0.2">
      <c r="A267" s="23">
        <v>46102</v>
      </c>
      <c r="B267" s="1" t="s">
        <v>54</v>
      </c>
      <c r="C267" s="18" t="s">
        <v>33</v>
      </c>
      <c r="D267" s="18">
        <v>3924</v>
      </c>
      <c r="E267" s="18" t="s">
        <v>512</v>
      </c>
      <c r="F267" s="18">
        <v>180.9</v>
      </c>
      <c r="G267" s="18">
        <v>500</v>
      </c>
      <c r="H267" s="18">
        <v>16</v>
      </c>
      <c r="I267" s="18">
        <v>100</v>
      </c>
      <c r="J267" s="8">
        <f t="shared" si="10"/>
        <v>8100</v>
      </c>
      <c r="K267" s="27">
        <f t="shared" si="9"/>
        <v>2.5657472738935212E-2</v>
      </c>
      <c r="L267" s="18">
        <v>4</v>
      </c>
      <c r="M267" s="18"/>
      <c r="N267" s="18"/>
      <c r="O267" s="18">
        <v>25</v>
      </c>
      <c r="P267" s="18"/>
    </row>
    <row r="268" spans="1:16" x14ac:dyDescent="0.2">
      <c r="A268" s="23">
        <v>46102</v>
      </c>
      <c r="B268" s="1" t="s">
        <v>54</v>
      </c>
      <c r="C268" s="18" t="s">
        <v>27</v>
      </c>
      <c r="D268" s="18">
        <v>3641</v>
      </c>
      <c r="E268" s="18" t="s">
        <v>814</v>
      </c>
      <c r="F268" s="18">
        <v>141.4</v>
      </c>
      <c r="G268" s="18">
        <v>500</v>
      </c>
      <c r="H268" s="18">
        <v>12</v>
      </c>
      <c r="I268" s="18">
        <v>300</v>
      </c>
      <c r="J268" s="8">
        <f t="shared" si="10"/>
        <v>6300</v>
      </c>
      <c r="K268" s="27">
        <f t="shared" si="9"/>
        <v>6.8599717114568595E-2</v>
      </c>
      <c r="L268" s="18">
        <v>9.6999999999999993</v>
      </c>
      <c r="M268" s="18"/>
      <c r="N268" s="18"/>
      <c r="O268" s="18"/>
      <c r="P268" s="18"/>
    </row>
    <row r="269" spans="1:16" x14ac:dyDescent="0.2">
      <c r="A269" s="23">
        <v>46102</v>
      </c>
      <c r="B269" s="1" t="s">
        <v>54</v>
      </c>
      <c r="C269" s="18" t="s">
        <v>27</v>
      </c>
      <c r="D269" s="18">
        <v>3643</v>
      </c>
      <c r="E269" s="18" t="s">
        <v>814</v>
      </c>
      <c r="F269" s="18">
        <v>149.4</v>
      </c>
      <c r="G269" s="18">
        <v>500</v>
      </c>
      <c r="H269" s="18">
        <v>13</v>
      </c>
      <c r="I269" s="18">
        <v>200</v>
      </c>
      <c r="J269" s="8">
        <f t="shared" si="10"/>
        <v>6700</v>
      </c>
      <c r="K269" s="27">
        <f t="shared" si="9"/>
        <v>4.9531459170013385E-2</v>
      </c>
      <c r="L269" s="18">
        <v>7.4</v>
      </c>
      <c r="M269" s="18"/>
      <c r="N269" s="18"/>
      <c r="O269" s="18"/>
      <c r="P269" s="18"/>
    </row>
    <row r="270" spans="1:16" x14ac:dyDescent="0.2">
      <c r="A270" s="23">
        <v>46102</v>
      </c>
      <c r="B270" s="1" t="s">
        <v>54</v>
      </c>
      <c r="C270" s="18" t="s">
        <v>15</v>
      </c>
      <c r="D270" s="18">
        <v>4151</v>
      </c>
      <c r="E270" s="18" t="s">
        <v>815</v>
      </c>
      <c r="F270" s="18">
        <v>38.5</v>
      </c>
      <c r="G270" s="18">
        <v>800</v>
      </c>
      <c r="H270" s="18">
        <v>4</v>
      </c>
      <c r="I270" s="18">
        <v>300</v>
      </c>
      <c r="J270" s="8">
        <f t="shared" si="10"/>
        <v>3500</v>
      </c>
      <c r="K270" s="27">
        <f t="shared" si="9"/>
        <v>6.2337662337662338E-2</v>
      </c>
      <c r="L270" s="18">
        <v>2.4</v>
      </c>
      <c r="M270" s="18"/>
      <c r="N270" s="18"/>
      <c r="O270" s="18"/>
      <c r="P270" s="18"/>
    </row>
    <row r="271" spans="1:16" x14ac:dyDescent="0.2">
      <c r="A271" s="23">
        <v>46102</v>
      </c>
      <c r="B271" s="1" t="s">
        <v>54</v>
      </c>
      <c r="C271" s="18" t="s">
        <v>15</v>
      </c>
      <c r="D271" s="18">
        <v>3940</v>
      </c>
      <c r="E271" s="18" t="s">
        <v>211</v>
      </c>
      <c r="F271" s="18">
        <v>809</v>
      </c>
      <c r="G271" s="18">
        <v>300</v>
      </c>
      <c r="H271" s="18">
        <v>58</v>
      </c>
      <c r="I271" s="18"/>
      <c r="J271" s="8">
        <f t="shared" si="10"/>
        <v>17400</v>
      </c>
      <c r="K271" s="27">
        <f t="shared" si="9"/>
        <v>2.2249690976514216E-2</v>
      </c>
      <c r="L271" s="18">
        <v>18</v>
      </c>
      <c r="M271" s="18"/>
      <c r="N271" s="18"/>
      <c r="O271" s="18"/>
      <c r="P271" s="18"/>
    </row>
    <row r="272" spans="1:16" x14ac:dyDescent="0.2">
      <c r="A272" s="23">
        <v>46102</v>
      </c>
      <c r="B272" s="1" t="s">
        <v>54</v>
      </c>
      <c r="C272" s="18" t="s">
        <v>27</v>
      </c>
      <c r="D272" s="18">
        <v>3599</v>
      </c>
      <c r="E272" s="18" t="s">
        <v>816</v>
      </c>
      <c r="F272" s="18">
        <v>61</v>
      </c>
      <c r="G272" s="18">
        <v>1000</v>
      </c>
      <c r="H272" s="18">
        <v>5</v>
      </c>
      <c r="I272" s="18"/>
      <c r="J272" s="8">
        <f t="shared" si="10"/>
        <v>5000</v>
      </c>
      <c r="K272" s="27">
        <f t="shared" si="9"/>
        <v>5.737704918032787E-2</v>
      </c>
      <c r="L272" s="18">
        <v>3.5</v>
      </c>
      <c r="M272" s="18"/>
      <c r="N272" s="18"/>
      <c r="O272" s="18"/>
      <c r="P272" s="18"/>
    </row>
    <row r="273" spans="1:16" x14ac:dyDescent="0.2">
      <c r="A273" s="23">
        <v>46102</v>
      </c>
      <c r="B273" s="1" t="s">
        <v>54</v>
      </c>
      <c r="C273" s="18" t="s">
        <v>27</v>
      </c>
      <c r="D273" s="18">
        <v>3598</v>
      </c>
      <c r="E273" s="18" t="s">
        <v>816</v>
      </c>
      <c r="F273" s="18">
        <v>75.8</v>
      </c>
      <c r="G273" s="18">
        <v>1000</v>
      </c>
      <c r="H273" s="18">
        <v>5</v>
      </c>
      <c r="I273" s="18">
        <v>900</v>
      </c>
      <c r="J273" s="8">
        <f t="shared" si="10"/>
        <v>5900</v>
      </c>
      <c r="K273" s="27">
        <f t="shared" si="9"/>
        <v>5.1451187335092352E-2</v>
      </c>
      <c r="L273" s="18">
        <v>3.9</v>
      </c>
      <c r="M273" s="18"/>
      <c r="N273" s="18"/>
      <c r="O273" s="18"/>
      <c r="P273" s="18"/>
    </row>
    <row r="274" spans="1:16" x14ac:dyDescent="0.2">
      <c r="A274" s="23">
        <v>46102</v>
      </c>
      <c r="B274" s="1" t="s">
        <v>54</v>
      </c>
      <c r="C274" s="18" t="s">
        <v>27</v>
      </c>
      <c r="D274" s="18">
        <v>4170</v>
      </c>
      <c r="E274" s="18" t="s">
        <v>809</v>
      </c>
      <c r="F274" s="18">
        <v>52.5</v>
      </c>
      <c r="G274" s="18">
        <v>3000</v>
      </c>
      <c r="H274" s="18">
        <v>7</v>
      </c>
      <c r="I274" s="18"/>
      <c r="J274" s="8">
        <f t="shared" si="10"/>
        <v>21000</v>
      </c>
      <c r="K274" s="27">
        <f t="shared" si="9"/>
        <v>5.5238095238095239E-2</v>
      </c>
      <c r="L274" s="18">
        <v>2.9</v>
      </c>
      <c r="M274" s="18"/>
      <c r="N274" s="18"/>
      <c r="O274" s="18"/>
      <c r="P274" s="18"/>
    </row>
    <row r="275" spans="1:16" x14ac:dyDescent="0.2">
      <c r="A275" s="23">
        <v>46102</v>
      </c>
      <c r="B275" s="1" t="s">
        <v>54</v>
      </c>
      <c r="C275" s="18" t="s">
        <v>15</v>
      </c>
      <c r="D275" s="18">
        <v>3736</v>
      </c>
      <c r="E275" s="18" t="s">
        <v>817</v>
      </c>
      <c r="F275" s="18">
        <v>48.3</v>
      </c>
      <c r="G275" s="18">
        <v>1000</v>
      </c>
      <c r="H275" s="18">
        <v>3</v>
      </c>
      <c r="I275" s="18"/>
      <c r="J275" s="8">
        <f t="shared" si="10"/>
        <v>3000</v>
      </c>
      <c r="K275" s="27">
        <f t="shared" si="9"/>
        <v>3.7656903765690378E-2</v>
      </c>
      <c r="L275" s="18">
        <v>1.8</v>
      </c>
      <c r="M275" s="18"/>
      <c r="N275" s="18"/>
      <c r="O275" s="18">
        <v>0.5</v>
      </c>
      <c r="P275" s="18"/>
    </row>
    <row r="276" spans="1:16" x14ac:dyDescent="0.2">
      <c r="A276" s="23">
        <v>46102</v>
      </c>
      <c r="B276" s="1" t="s">
        <v>54</v>
      </c>
      <c r="C276" s="18" t="s">
        <v>33</v>
      </c>
      <c r="D276" s="18">
        <v>3850</v>
      </c>
      <c r="E276" s="18" t="s">
        <v>818</v>
      </c>
      <c r="F276" s="18">
        <v>204.8</v>
      </c>
      <c r="G276" s="18">
        <v>500</v>
      </c>
      <c r="H276" s="18">
        <v>23</v>
      </c>
      <c r="I276" s="18">
        <v>100</v>
      </c>
      <c r="J276" s="8">
        <f t="shared" si="10"/>
        <v>11600</v>
      </c>
      <c r="K276" s="27">
        <f t="shared" si="9"/>
        <v>1.3498312710911134E-2</v>
      </c>
      <c r="L276" s="18">
        <v>2.4</v>
      </c>
      <c r="M276" s="18">
        <v>3</v>
      </c>
      <c r="N276" s="18"/>
      <c r="O276" s="18">
        <v>27</v>
      </c>
      <c r="P276" s="18"/>
    </row>
    <row r="277" spans="1:16" x14ac:dyDescent="0.2">
      <c r="A277" s="23">
        <v>46102</v>
      </c>
      <c r="B277" s="1" t="s">
        <v>54</v>
      </c>
      <c r="C277" s="18" t="s">
        <v>33</v>
      </c>
      <c r="D277" s="18">
        <v>3901</v>
      </c>
      <c r="E277" s="18" t="s">
        <v>819</v>
      </c>
      <c r="F277" s="18">
        <v>238.9</v>
      </c>
      <c r="G277" s="18">
        <v>500</v>
      </c>
      <c r="H277" s="18">
        <v>16</v>
      </c>
      <c r="I277" s="18">
        <v>178</v>
      </c>
      <c r="J277" s="8">
        <f t="shared" si="10"/>
        <v>8178</v>
      </c>
      <c r="K277" s="27">
        <f t="shared" si="9"/>
        <v>1.1278195488721804E-2</v>
      </c>
      <c r="L277" s="18">
        <v>2.4</v>
      </c>
      <c r="M277" s="18">
        <v>3.1</v>
      </c>
      <c r="N277" s="18"/>
      <c r="O277" s="18">
        <v>26.1</v>
      </c>
      <c r="P277" s="18"/>
    </row>
    <row r="278" spans="1:16" x14ac:dyDescent="0.2">
      <c r="A278" s="23">
        <v>46102</v>
      </c>
      <c r="B278" s="1" t="s">
        <v>54</v>
      </c>
      <c r="C278" s="18" t="s">
        <v>33</v>
      </c>
      <c r="D278" s="18">
        <v>3971</v>
      </c>
      <c r="E278" s="18" t="s">
        <v>655</v>
      </c>
      <c r="F278" s="18">
        <v>634.5</v>
      </c>
      <c r="G278" s="18">
        <v>500</v>
      </c>
      <c r="H278" s="18">
        <v>77</v>
      </c>
      <c r="I278" s="18"/>
      <c r="J278" s="8">
        <f t="shared" si="10"/>
        <v>38500</v>
      </c>
      <c r="K278" s="27">
        <f t="shared" si="9"/>
        <v>2.0348837209302324E-2</v>
      </c>
      <c r="L278" s="18">
        <v>11.2</v>
      </c>
      <c r="M278" s="18">
        <v>9.3000000000000007</v>
      </c>
      <c r="N278" s="18"/>
      <c r="O278" s="18">
        <v>84.1</v>
      </c>
      <c r="P278" s="18"/>
    </row>
    <row r="279" spans="1:16" x14ac:dyDescent="0.2">
      <c r="A279" s="23">
        <v>46102</v>
      </c>
      <c r="B279" s="1" t="s">
        <v>54</v>
      </c>
      <c r="C279" s="18" t="s">
        <v>24</v>
      </c>
      <c r="D279" s="18">
        <v>3942</v>
      </c>
      <c r="E279" s="18" t="s">
        <v>194</v>
      </c>
      <c r="F279" s="18">
        <v>42.8</v>
      </c>
      <c r="G279" s="18">
        <v>5000</v>
      </c>
      <c r="H279" s="18">
        <v>4</v>
      </c>
      <c r="I279" s="18"/>
      <c r="J279" s="8">
        <f t="shared" si="10"/>
        <v>20000</v>
      </c>
      <c r="K279" s="27">
        <f t="shared" si="9"/>
        <v>9.3457943925233655E-3</v>
      </c>
      <c r="L279" s="18">
        <v>0.4</v>
      </c>
      <c r="M279" s="18"/>
      <c r="N279" s="18"/>
      <c r="O279" s="18"/>
      <c r="P279" s="18"/>
    </row>
    <row r="280" spans="1:16" x14ac:dyDescent="0.2">
      <c r="A280" s="23">
        <v>46102</v>
      </c>
      <c r="B280" s="1" t="s">
        <v>54</v>
      </c>
      <c r="C280" s="18" t="s">
        <v>20</v>
      </c>
      <c r="D280" s="18">
        <v>3864</v>
      </c>
      <c r="E280" s="18" t="s">
        <v>820</v>
      </c>
      <c r="F280" s="18">
        <v>22</v>
      </c>
      <c r="G280" s="18">
        <v>2000</v>
      </c>
      <c r="H280" s="18">
        <v>1</v>
      </c>
      <c r="I280" s="18">
        <v>1650</v>
      </c>
      <c r="J280" s="8">
        <f t="shared" si="10"/>
        <v>3650</v>
      </c>
      <c r="K280" s="27">
        <f t="shared" si="9"/>
        <v>2.2727272727272728E-2</v>
      </c>
      <c r="L280" s="18">
        <v>0.5</v>
      </c>
      <c r="M280" s="18"/>
      <c r="N280" s="18"/>
      <c r="O280" s="18"/>
      <c r="P280" s="18"/>
    </row>
    <row r="281" spans="1:16" x14ac:dyDescent="0.2">
      <c r="A281" s="23">
        <v>46102</v>
      </c>
      <c r="B281" s="1" t="s">
        <v>54</v>
      </c>
      <c r="C281" s="18" t="s">
        <v>20</v>
      </c>
      <c r="D281" s="18">
        <v>3865</v>
      </c>
      <c r="E281" s="18" t="s">
        <v>821</v>
      </c>
      <c r="F281" s="18">
        <v>19</v>
      </c>
      <c r="G281" s="18">
        <v>1000</v>
      </c>
      <c r="H281" s="18">
        <v>3</v>
      </c>
      <c r="I281" s="18">
        <v>450</v>
      </c>
      <c r="J281" s="8">
        <f t="shared" si="10"/>
        <v>3450</v>
      </c>
      <c r="K281" s="27">
        <f t="shared" si="9"/>
        <v>1.0526315789473684E-2</v>
      </c>
      <c r="L281" s="18">
        <v>0.2</v>
      </c>
      <c r="M281" s="18"/>
      <c r="N281" s="18"/>
      <c r="O281" s="18"/>
      <c r="P281" s="18"/>
    </row>
    <row r="282" spans="1:16" x14ac:dyDescent="0.2">
      <c r="A282" s="23">
        <v>46102</v>
      </c>
      <c r="B282" s="1" t="s">
        <v>54</v>
      </c>
      <c r="C282" s="18" t="s">
        <v>20</v>
      </c>
      <c r="D282" s="18">
        <v>3946</v>
      </c>
      <c r="E282" s="18" t="s">
        <v>822</v>
      </c>
      <c r="F282" s="18"/>
      <c r="G282" s="18">
        <v>1400</v>
      </c>
      <c r="H282" s="18">
        <v>1</v>
      </c>
      <c r="I282" s="18"/>
      <c r="J282" s="8">
        <f t="shared" si="10"/>
        <v>1400</v>
      </c>
      <c r="K282" s="27">
        <f t="shared" si="9"/>
        <v>0</v>
      </c>
      <c r="L282" s="18">
        <v>0.8</v>
      </c>
      <c r="M282" s="18"/>
      <c r="N282" s="18"/>
      <c r="O282" s="18"/>
      <c r="P282" s="18"/>
    </row>
    <row r="283" spans="1:16" x14ac:dyDescent="0.2">
      <c r="A283" s="23">
        <v>46103</v>
      </c>
      <c r="B283" s="18" t="s">
        <v>423</v>
      </c>
      <c r="C283" s="18" t="s">
        <v>15</v>
      </c>
      <c r="D283" s="18">
        <v>3736</v>
      </c>
      <c r="E283" s="18" t="s">
        <v>817</v>
      </c>
      <c r="F283" s="18">
        <v>239</v>
      </c>
      <c r="G283" s="18">
        <v>1000</v>
      </c>
      <c r="H283" s="18">
        <v>15</v>
      </c>
      <c r="I283" s="18">
        <v>900</v>
      </c>
      <c r="J283" s="8">
        <f t="shared" si="10"/>
        <v>15900</v>
      </c>
      <c r="K283" s="27">
        <f t="shared" si="9"/>
        <v>1.6504443504020312E-2</v>
      </c>
      <c r="L283" s="18">
        <v>3.9</v>
      </c>
      <c r="M283" s="18">
        <v>7.2</v>
      </c>
      <c r="N283" s="18"/>
      <c r="O283" s="18">
        <v>2.7</v>
      </c>
      <c r="P283" s="18"/>
    </row>
    <row r="284" spans="1:16" x14ac:dyDescent="0.2">
      <c r="A284" s="23">
        <v>46103</v>
      </c>
      <c r="B284" s="18" t="s">
        <v>423</v>
      </c>
      <c r="C284" s="18" t="s">
        <v>15</v>
      </c>
      <c r="D284" s="18">
        <v>3710</v>
      </c>
      <c r="E284" s="18" t="s">
        <v>823</v>
      </c>
      <c r="F284" s="18">
        <v>179</v>
      </c>
      <c r="G284" s="18">
        <v>250</v>
      </c>
      <c r="H284" s="18">
        <v>10</v>
      </c>
      <c r="I284" s="18">
        <v>100</v>
      </c>
      <c r="J284" s="8">
        <f t="shared" si="10"/>
        <v>2600</v>
      </c>
      <c r="K284" s="27">
        <f t="shared" si="9"/>
        <v>1.1235955056179775E-2</v>
      </c>
      <c r="L284" s="18">
        <v>2</v>
      </c>
      <c r="M284" s="18">
        <v>10</v>
      </c>
      <c r="N284" s="18"/>
      <c r="O284" s="18">
        <v>1</v>
      </c>
      <c r="P284" s="18"/>
    </row>
    <row r="285" spans="1:16" x14ac:dyDescent="0.2">
      <c r="A285" s="23">
        <v>46103</v>
      </c>
      <c r="B285" s="18" t="s">
        <v>423</v>
      </c>
      <c r="C285" s="18" t="s">
        <v>15</v>
      </c>
      <c r="D285" s="18">
        <v>3715</v>
      </c>
      <c r="E285" s="18" t="s">
        <v>824</v>
      </c>
      <c r="F285" s="18">
        <v>201</v>
      </c>
      <c r="G285" s="18">
        <v>300</v>
      </c>
      <c r="H285" s="18">
        <v>17</v>
      </c>
      <c r="I285" s="18">
        <v>125</v>
      </c>
      <c r="J285" s="8">
        <f t="shared" si="10"/>
        <v>5225</v>
      </c>
      <c r="K285" s="27">
        <f t="shared" si="9"/>
        <v>7.0387129210658615E-3</v>
      </c>
      <c r="L285" s="18">
        <v>1.4</v>
      </c>
      <c r="M285" s="18">
        <v>8.1</v>
      </c>
      <c r="N285" s="18"/>
      <c r="O285" s="18">
        <v>2.1</v>
      </c>
      <c r="P285" s="18"/>
    </row>
    <row r="286" spans="1:16" x14ac:dyDescent="0.2">
      <c r="A286" s="23">
        <v>46103</v>
      </c>
      <c r="B286" s="18" t="s">
        <v>423</v>
      </c>
      <c r="C286" s="18" t="s">
        <v>15</v>
      </c>
      <c r="D286" s="18">
        <v>4117</v>
      </c>
      <c r="E286" s="18" t="s">
        <v>208</v>
      </c>
      <c r="F286" s="18">
        <v>55.2</v>
      </c>
      <c r="G286" s="18">
        <v>300</v>
      </c>
      <c r="H286" s="18">
        <v>3</v>
      </c>
      <c r="I286" s="18">
        <v>100</v>
      </c>
      <c r="J286" s="8">
        <f t="shared" si="10"/>
        <v>1000</v>
      </c>
      <c r="K286" s="27">
        <f t="shared" si="9"/>
        <v>5.2536231884057968E-2</v>
      </c>
      <c r="L286" s="18">
        <v>2.9</v>
      </c>
      <c r="M286" s="18"/>
      <c r="N286" s="18"/>
      <c r="O286" s="18"/>
      <c r="P286" s="18"/>
    </row>
    <row r="287" spans="1:16" x14ac:dyDescent="0.2">
      <c r="A287" s="23">
        <v>46103</v>
      </c>
      <c r="B287" s="18" t="s">
        <v>423</v>
      </c>
      <c r="C287" s="18" t="s">
        <v>15</v>
      </c>
      <c r="D287" s="18">
        <v>3799</v>
      </c>
      <c r="E287" s="18" t="s">
        <v>825</v>
      </c>
      <c r="F287" s="18">
        <v>27.6</v>
      </c>
      <c r="G287" s="18">
        <v>150</v>
      </c>
      <c r="H287" s="18">
        <v>2</v>
      </c>
      <c r="I287" s="18"/>
      <c r="J287" s="8">
        <f t="shared" si="10"/>
        <v>300</v>
      </c>
      <c r="K287" s="27">
        <f t="shared" si="9"/>
        <v>0.10507246376811594</v>
      </c>
      <c r="L287" s="18">
        <v>2.9</v>
      </c>
      <c r="M287" s="18"/>
      <c r="N287" s="18"/>
      <c r="O287" s="18"/>
      <c r="P287" s="18"/>
    </row>
    <row r="288" spans="1:16" x14ac:dyDescent="0.2">
      <c r="A288" s="23">
        <v>46103</v>
      </c>
      <c r="B288" s="18" t="s">
        <v>423</v>
      </c>
      <c r="C288" s="18" t="s">
        <v>20</v>
      </c>
      <c r="D288" s="18">
        <v>3946</v>
      </c>
      <c r="E288" s="18" t="s">
        <v>822</v>
      </c>
      <c r="F288" s="18">
        <v>548.70000000000005</v>
      </c>
      <c r="G288" s="18">
        <v>1400</v>
      </c>
      <c r="H288" s="18">
        <v>70</v>
      </c>
      <c r="I288" s="18">
        <v>800</v>
      </c>
      <c r="J288" s="8">
        <f t="shared" si="10"/>
        <v>98800</v>
      </c>
      <c r="K288" s="27">
        <f t="shared" si="9"/>
        <v>2.1869874248223072E-3</v>
      </c>
      <c r="L288" s="18">
        <v>1.2</v>
      </c>
      <c r="M288" s="18"/>
      <c r="N288" s="18"/>
      <c r="O288" s="18"/>
      <c r="P288" s="18"/>
    </row>
    <row r="289" spans="1:16" x14ac:dyDescent="0.2">
      <c r="A289" s="23">
        <v>46103</v>
      </c>
      <c r="B289" s="18" t="s">
        <v>423</v>
      </c>
      <c r="C289" s="18" t="s">
        <v>20</v>
      </c>
      <c r="D289" s="18">
        <v>4024</v>
      </c>
      <c r="E289" s="18" t="s">
        <v>164</v>
      </c>
      <c r="F289" s="18">
        <v>110</v>
      </c>
      <c r="G289" s="18">
        <v>1000</v>
      </c>
      <c r="H289" s="18">
        <v>12</v>
      </c>
      <c r="I289" s="18"/>
      <c r="J289" s="8">
        <f t="shared" si="10"/>
        <v>12000</v>
      </c>
      <c r="K289" s="27">
        <f t="shared" si="9"/>
        <v>7.2727272727272727E-3</v>
      </c>
      <c r="L289" s="18">
        <v>0.8</v>
      </c>
      <c r="M289" s="18"/>
      <c r="N289" s="18"/>
      <c r="O289" s="18"/>
      <c r="P289" s="18"/>
    </row>
    <row r="290" spans="1:16" x14ac:dyDescent="0.2">
      <c r="A290" s="23">
        <v>46103</v>
      </c>
      <c r="B290" s="18" t="s">
        <v>423</v>
      </c>
      <c r="C290" s="18" t="s">
        <v>24</v>
      </c>
      <c r="D290" s="18">
        <v>3942</v>
      </c>
      <c r="E290" s="18" t="s">
        <v>194</v>
      </c>
      <c r="F290" s="18">
        <v>44.1</v>
      </c>
      <c r="G290" s="18">
        <v>5000</v>
      </c>
      <c r="H290" s="18">
        <v>11</v>
      </c>
      <c r="I290" s="18"/>
      <c r="J290" s="8">
        <f t="shared" si="10"/>
        <v>55000</v>
      </c>
      <c r="K290" s="27">
        <f t="shared" si="9"/>
        <v>6.8027210884353734E-2</v>
      </c>
      <c r="L290" s="18">
        <v>3</v>
      </c>
      <c r="M290" s="18"/>
      <c r="N290" s="18"/>
      <c r="O290" s="18"/>
      <c r="P290" s="18"/>
    </row>
    <row r="291" spans="1:16" x14ac:dyDescent="0.2">
      <c r="A291" s="23">
        <v>46103</v>
      </c>
      <c r="B291" s="18" t="s">
        <v>423</v>
      </c>
      <c r="C291" s="18" t="s">
        <v>27</v>
      </c>
      <c r="D291" s="18">
        <v>4170</v>
      </c>
      <c r="E291" s="18" t="s">
        <v>809</v>
      </c>
      <c r="F291" s="18">
        <v>53</v>
      </c>
      <c r="G291" s="18">
        <v>3000</v>
      </c>
      <c r="H291" s="18">
        <v>5</v>
      </c>
      <c r="I291" s="18">
        <v>600</v>
      </c>
      <c r="J291" s="8">
        <f t="shared" si="10"/>
        <v>15600</v>
      </c>
      <c r="K291" s="27">
        <f t="shared" si="9"/>
        <v>3.0188679245283019E-2</v>
      </c>
      <c r="L291" s="18">
        <v>1.6</v>
      </c>
      <c r="M291" s="18"/>
      <c r="N291" s="18"/>
      <c r="O291" s="18"/>
      <c r="P291" s="18"/>
    </row>
    <row r="292" spans="1:16" x14ac:dyDescent="0.2">
      <c r="A292" s="23">
        <v>46103</v>
      </c>
      <c r="B292" s="18" t="s">
        <v>423</v>
      </c>
      <c r="C292" s="18" t="s">
        <v>27</v>
      </c>
      <c r="D292" s="18">
        <v>3666</v>
      </c>
      <c r="E292" s="18" t="s">
        <v>826</v>
      </c>
      <c r="F292" s="18">
        <v>230.7</v>
      </c>
      <c r="G292" s="18">
        <v>2000</v>
      </c>
      <c r="H292" s="18">
        <v>19</v>
      </c>
      <c r="I292" s="18"/>
      <c r="J292" s="8">
        <f t="shared" si="10"/>
        <v>38000</v>
      </c>
      <c r="K292" s="27">
        <f t="shared" si="9"/>
        <v>2.1239705244906808E-2</v>
      </c>
      <c r="L292" s="18">
        <v>4.9000000000000004</v>
      </c>
      <c r="M292" s="18">
        <v>5.0999999999999996</v>
      </c>
      <c r="N292" s="18"/>
      <c r="O292" s="18"/>
      <c r="P292" s="18"/>
    </row>
    <row r="293" spans="1:16" x14ac:dyDescent="0.2">
      <c r="A293" s="23">
        <v>46103</v>
      </c>
      <c r="B293" s="18" t="s">
        <v>423</v>
      </c>
      <c r="C293" s="18" t="s">
        <v>33</v>
      </c>
      <c r="D293" s="18">
        <v>3971</v>
      </c>
      <c r="E293" s="18" t="s">
        <v>655</v>
      </c>
      <c r="F293" s="18">
        <v>806</v>
      </c>
      <c r="G293" s="18">
        <v>500</v>
      </c>
      <c r="H293" s="18">
        <v>94</v>
      </c>
      <c r="I293" s="18">
        <v>245</v>
      </c>
      <c r="J293" s="8">
        <f t="shared" si="10"/>
        <v>47245</v>
      </c>
      <c r="K293" s="27">
        <f t="shared" ref="K293:K356" si="11">IFERROR(L293/(F293-O293)*100%,0)</f>
        <v>1.2128995433789955E-2</v>
      </c>
      <c r="L293" s="18">
        <v>8.5</v>
      </c>
      <c r="M293" s="18">
        <v>14.2</v>
      </c>
      <c r="N293" s="18"/>
      <c r="O293" s="18">
        <v>105.2</v>
      </c>
      <c r="P293" s="18"/>
    </row>
    <row r="294" spans="1:16" x14ac:dyDescent="0.2">
      <c r="A294" s="23">
        <v>46104</v>
      </c>
      <c r="B294" s="18" t="s">
        <v>40</v>
      </c>
      <c r="C294" s="18" t="s">
        <v>15</v>
      </c>
      <c r="D294" s="18">
        <v>3799</v>
      </c>
      <c r="E294" s="18"/>
      <c r="F294" s="18">
        <v>262.8</v>
      </c>
      <c r="G294" s="18">
        <v>150</v>
      </c>
      <c r="H294" s="18">
        <v>22</v>
      </c>
      <c r="I294" s="18">
        <v>100</v>
      </c>
      <c r="J294" s="8">
        <f t="shared" ref="J294:J310" si="12">G294*H294+I294</f>
        <v>3400</v>
      </c>
      <c r="K294" s="27">
        <f t="shared" ref="K294:K310" si="13">IFERROR(L294/(F294-O294)*100%,0)</f>
        <v>8.3713850837138504E-3</v>
      </c>
      <c r="L294" s="18">
        <v>2.2000000000000002</v>
      </c>
      <c r="M294" s="18">
        <v>9.6999999999999993</v>
      </c>
      <c r="N294" s="18"/>
      <c r="O294" s="18"/>
      <c r="P294" s="18"/>
    </row>
    <row r="295" spans="1:16" x14ac:dyDescent="0.2">
      <c r="A295" s="23">
        <v>46104</v>
      </c>
      <c r="B295" s="18" t="s">
        <v>40</v>
      </c>
      <c r="C295" s="18" t="s">
        <v>20</v>
      </c>
      <c r="D295" s="18">
        <v>4024</v>
      </c>
      <c r="E295" s="18"/>
      <c r="F295" s="18">
        <v>32.200000000000003</v>
      </c>
      <c r="G295" s="18">
        <v>1000</v>
      </c>
      <c r="H295" s="18">
        <v>8</v>
      </c>
      <c r="I295" s="18">
        <v>200</v>
      </c>
      <c r="J295" s="8">
        <f t="shared" si="12"/>
        <v>8200</v>
      </c>
      <c r="K295" s="27">
        <f t="shared" si="13"/>
        <v>6.2111801242236021E-3</v>
      </c>
      <c r="L295" s="18">
        <v>0.2</v>
      </c>
      <c r="M295" s="18"/>
      <c r="N295" s="18"/>
      <c r="O295" s="18"/>
      <c r="P295" s="18"/>
    </row>
    <row r="296" spans="1:16" x14ac:dyDescent="0.2">
      <c r="A296" s="23">
        <v>46104</v>
      </c>
      <c r="B296" s="18" t="s">
        <v>40</v>
      </c>
      <c r="C296" s="18" t="s">
        <v>20</v>
      </c>
      <c r="D296" s="18">
        <v>4085</v>
      </c>
      <c r="E296" s="18"/>
      <c r="F296" s="18">
        <v>380.7</v>
      </c>
      <c r="G296" s="18">
        <v>1200</v>
      </c>
      <c r="H296" s="18">
        <v>38</v>
      </c>
      <c r="I296" s="18"/>
      <c r="J296" s="8">
        <f t="shared" si="12"/>
        <v>45600</v>
      </c>
      <c r="K296" s="27">
        <f t="shared" si="13"/>
        <v>5.2534804307853957E-3</v>
      </c>
      <c r="L296" s="18">
        <v>2</v>
      </c>
      <c r="M296" s="18"/>
      <c r="N296" s="18"/>
      <c r="O296" s="18"/>
      <c r="P296" s="18"/>
    </row>
    <row r="297" spans="1:16" x14ac:dyDescent="0.2">
      <c r="A297" s="23">
        <v>46104</v>
      </c>
      <c r="B297" s="18" t="s">
        <v>40</v>
      </c>
      <c r="C297" s="18" t="s">
        <v>24</v>
      </c>
      <c r="D297" s="18">
        <v>3942</v>
      </c>
      <c r="E297" s="18"/>
      <c r="F297" s="18">
        <v>44.3</v>
      </c>
      <c r="G297" s="18">
        <v>5000</v>
      </c>
      <c r="H297" s="18">
        <v>6</v>
      </c>
      <c r="I297" s="18">
        <v>4700</v>
      </c>
      <c r="J297" s="8">
        <f t="shared" si="12"/>
        <v>34700</v>
      </c>
      <c r="K297" s="27">
        <f t="shared" si="13"/>
        <v>1.3544018058690745E-2</v>
      </c>
      <c r="L297" s="18">
        <v>0.6</v>
      </c>
      <c r="M297" s="18"/>
      <c r="N297" s="18"/>
      <c r="O297" s="18"/>
      <c r="P297" s="18"/>
    </row>
    <row r="298" spans="1:16" x14ac:dyDescent="0.2">
      <c r="A298" s="23">
        <v>46104</v>
      </c>
      <c r="B298" s="18" t="s">
        <v>40</v>
      </c>
      <c r="C298" s="18" t="s">
        <v>27</v>
      </c>
      <c r="D298" s="18">
        <v>3666</v>
      </c>
      <c r="E298" s="18"/>
      <c r="F298" s="18">
        <v>315.60000000000002</v>
      </c>
      <c r="G298" s="18">
        <v>2000</v>
      </c>
      <c r="H298" s="18">
        <v>28</v>
      </c>
      <c r="I298" s="18"/>
      <c r="J298" s="8">
        <f t="shared" si="12"/>
        <v>56000</v>
      </c>
      <c r="K298" s="27">
        <f t="shared" si="13"/>
        <v>2.1863117870722433E-2</v>
      </c>
      <c r="L298" s="18">
        <v>6.9</v>
      </c>
      <c r="M298" s="18">
        <v>7.2</v>
      </c>
      <c r="N298" s="18"/>
      <c r="O298" s="18"/>
      <c r="P298" s="18"/>
    </row>
    <row r="299" spans="1:16" x14ac:dyDescent="0.2">
      <c r="A299" s="23">
        <v>46104</v>
      </c>
      <c r="B299" s="18" t="s">
        <v>40</v>
      </c>
      <c r="C299" s="18" t="s">
        <v>15</v>
      </c>
      <c r="D299" s="18">
        <v>4000</v>
      </c>
      <c r="E299" s="18"/>
      <c r="F299" s="18">
        <v>35</v>
      </c>
      <c r="G299" s="18">
        <v>700</v>
      </c>
      <c r="H299" s="18">
        <v>2</v>
      </c>
      <c r="I299" s="18">
        <v>520</v>
      </c>
      <c r="J299" s="8">
        <f t="shared" si="12"/>
        <v>1920</v>
      </c>
      <c r="K299" s="27">
        <f t="shared" si="13"/>
        <v>1.4285714285714285E-2</v>
      </c>
      <c r="L299" s="18">
        <v>0.5</v>
      </c>
      <c r="M299" s="18"/>
      <c r="N299" s="18"/>
      <c r="O299" s="18"/>
      <c r="P299" s="18"/>
    </row>
    <row r="300" spans="1:16" x14ac:dyDescent="0.2">
      <c r="A300" s="23">
        <v>46104</v>
      </c>
      <c r="B300" s="18" t="s">
        <v>40</v>
      </c>
      <c r="C300" s="18" t="s">
        <v>15</v>
      </c>
      <c r="D300" s="18">
        <v>3999</v>
      </c>
      <c r="E300" s="18"/>
      <c r="F300" s="18">
        <v>46</v>
      </c>
      <c r="G300" s="18">
        <v>500</v>
      </c>
      <c r="H300" s="18">
        <v>2</v>
      </c>
      <c r="I300" s="18">
        <v>470</v>
      </c>
      <c r="J300" s="8">
        <f t="shared" si="12"/>
        <v>1470</v>
      </c>
      <c r="K300" s="27">
        <f t="shared" si="13"/>
        <v>1.0869565217391304E-2</v>
      </c>
      <c r="L300" s="18">
        <v>0.5</v>
      </c>
      <c r="M300" s="18"/>
      <c r="N300" s="18"/>
      <c r="O300" s="18"/>
      <c r="P300" s="18"/>
    </row>
    <row r="301" spans="1:16" x14ac:dyDescent="0.2">
      <c r="A301" s="23">
        <v>46104</v>
      </c>
      <c r="B301" s="18" t="s">
        <v>40</v>
      </c>
      <c r="C301" s="18" t="s">
        <v>15</v>
      </c>
      <c r="D301" s="18">
        <v>3969</v>
      </c>
      <c r="E301" s="18"/>
      <c r="F301" s="18">
        <v>176.7</v>
      </c>
      <c r="G301" s="18">
        <v>1200</v>
      </c>
      <c r="H301" s="18">
        <v>20</v>
      </c>
      <c r="I301" s="18"/>
      <c r="J301" s="8">
        <f t="shared" si="12"/>
        <v>24000</v>
      </c>
      <c r="K301" s="27">
        <f t="shared" si="13"/>
        <v>5.6593095642331641E-3</v>
      </c>
      <c r="L301" s="18">
        <v>1</v>
      </c>
      <c r="M301" s="18"/>
      <c r="N301" s="18"/>
      <c r="O301" s="18"/>
      <c r="P301" s="18"/>
    </row>
    <row r="302" spans="1:16" x14ac:dyDescent="0.2">
      <c r="A302" s="23">
        <v>46104</v>
      </c>
      <c r="B302" s="18" t="s">
        <v>40</v>
      </c>
      <c r="C302" s="18" t="s">
        <v>15</v>
      </c>
      <c r="D302" s="18">
        <v>3994</v>
      </c>
      <c r="E302" s="18" t="s">
        <v>827</v>
      </c>
      <c r="F302" s="18"/>
      <c r="G302" s="18">
        <v>1000</v>
      </c>
      <c r="H302" s="18">
        <v>1</v>
      </c>
      <c r="I302" s="18">
        <v>870</v>
      </c>
      <c r="J302" s="8">
        <f t="shared" si="12"/>
        <v>1870</v>
      </c>
      <c r="K302" s="27">
        <f t="shared" si="13"/>
        <v>0</v>
      </c>
      <c r="L302" s="18">
        <v>0.1</v>
      </c>
      <c r="M302" s="18"/>
      <c r="N302" s="18"/>
      <c r="O302" s="18"/>
      <c r="P302" s="18"/>
    </row>
    <row r="303" spans="1:16" x14ac:dyDescent="0.2">
      <c r="A303" s="23">
        <v>46104</v>
      </c>
      <c r="B303" s="18" t="s">
        <v>40</v>
      </c>
      <c r="C303" s="18" t="s">
        <v>24</v>
      </c>
      <c r="D303" s="18">
        <v>3959</v>
      </c>
      <c r="E303" s="18"/>
      <c r="F303" s="18">
        <v>98.8</v>
      </c>
      <c r="G303" s="18">
        <v>1000</v>
      </c>
      <c r="H303" s="18">
        <v>11</v>
      </c>
      <c r="I303" s="18"/>
      <c r="J303" s="8">
        <f t="shared" si="12"/>
        <v>11000</v>
      </c>
      <c r="K303" s="27">
        <f t="shared" si="13"/>
        <v>4.048582995951417E-3</v>
      </c>
      <c r="L303" s="18">
        <v>0.4</v>
      </c>
      <c r="M303" s="18">
        <v>1.6</v>
      </c>
      <c r="N303" s="18">
        <v>1.5</v>
      </c>
      <c r="O303" s="18"/>
      <c r="P303" s="18"/>
    </row>
    <row r="304" spans="1:16" x14ac:dyDescent="0.2">
      <c r="A304" s="23">
        <v>46104</v>
      </c>
      <c r="B304" s="18" t="s">
        <v>40</v>
      </c>
      <c r="C304" s="18" t="s">
        <v>33</v>
      </c>
      <c r="D304" s="18">
        <v>3983</v>
      </c>
      <c r="E304" s="18"/>
      <c r="F304" s="18">
        <v>192.2</v>
      </c>
      <c r="G304" s="18">
        <v>500</v>
      </c>
      <c r="H304" s="18">
        <v>21</v>
      </c>
      <c r="I304" s="18">
        <v>200</v>
      </c>
      <c r="J304" s="8">
        <f t="shared" si="12"/>
        <v>10700</v>
      </c>
      <c r="K304" s="27">
        <f t="shared" si="13"/>
        <v>2.7325581395348839E-2</v>
      </c>
      <c r="L304" s="18">
        <v>4.7</v>
      </c>
      <c r="M304" s="18"/>
      <c r="N304" s="18"/>
      <c r="O304" s="18">
        <v>20.2</v>
      </c>
      <c r="P304" s="18"/>
    </row>
    <row r="305" spans="1:16" x14ac:dyDescent="0.2">
      <c r="A305" s="23">
        <v>46104</v>
      </c>
      <c r="B305" s="18" t="s">
        <v>40</v>
      </c>
      <c r="C305" s="18" t="s">
        <v>33</v>
      </c>
      <c r="D305" s="18">
        <v>3820</v>
      </c>
      <c r="E305" s="18"/>
      <c r="F305" s="18">
        <v>214.7</v>
      </c>
      <c r="G305" s="18">
        <v>400</v>
      </c>
      <c r="H305" s="18">
        <v>17</v>
      </c>
      <c r="I305" s="18">
        <v>370</v>
      </c>
      <c r="J305" s="8">
        <f t="shared" si="12"/>
        <v>7170</v>
      </c>
      <c r="K305" s="27">
        <f t="shared" si="13"/>
        <v>2.9146793852676208E-2</v>
      </c>
      <c r="L305" s="18">
        <v>5.5</v>
      </c>
      <c r="M305" s="18">
        <v>4.0999999999999996</v>
      </c>
      <c r="N305" s="18"/>
      <c r="O305" s="18">
        <v>26</v>
      </c>
      <c r="P305" s="18"/>
    </row>
    <row r="306" spans="1:16" x14ac:dyDescent="0.2">
      <c r="A306" s="23">
        <v>46104</v>
      </c>
      <c r="B306" s="18" t="s">
        <v>40</v>
      </c>
      <c r="C306" s="18" t="s">
        <v>24</v>
      </c>
      <c r="D306" s="18">
        <v>4011</v>
      </c>
      <c r="E306" s="18"/>
      <c r="F306" s="18">
        <v>50.7</v>
      </c>
      <c r="G306" s="18">
        <v>5000</v>
      </c>
      <c r="H306" s="18">
        <v>6</v>
      </c>
      <c r="I306" s="18"/>
      <c r="J306" s="8">
        <f t="shared" si="12"/>
        <v>30000</v>
      </c>
      <c r="K306" s="27">
        <f t="shared" si="13"/>
        <v>5.9171597633136093E-3</v>
      </c>
      <c r="L306" s="18">
        <v>0.3</v>
      </c>
      <c r="M306" s="18"/>
      <c r="N306" s="18"/>
      <c r="O306" s="18"/>
      <c r="P306" s="18"/>
    </row>
    <row r="307" spans="1:16" x14ac:dyDescent="0.2">
      <c r="A307" s="23">
        <v>46104</v>
      </c>
      <c r="B307" s="18" t="s">
        <v>40</v>
      </c>
      <c r="C307" s="18" t="s">
        <v>33</v>
      </c>
      <c r="D307" s="18">
        <v>4171</v>
      </c>
      <c r="E307" s="18"/>
      <c r="F307" s="18">
        <v>560.6</v>
      </c>
      <c r="G307" s="18">
        <v>500</v>
      </c>
      <c r="H307" s="18">
        <v>65</v>
      </c>
      <c r="I307" s="18"/>
      <c r="J307" s="8">
        <f t="shared" si="12"/>
        <v>32500</v>
      </c>
      <c r="K307" s="27">
        <f t="shared" si="13"/>
        <v>5.2567731500202186E-3</v>
      </c>
      <c r="L307" s="18">
        <v>2.6</v>
      </c>
      <c r="M307" s="18">
        <v>4</v>
      </c>
      <c r="N307" s="18"/>
      <c r="O307" s="18">
        <v>66</v>
      </c>
      <c r="P307" s="18"/>
    </row>
    <row r="308" spans="1:16" x14ac:dyDescent="0.2">
      <c r="A308" s="23">
        <v>46104</v>
      </c>
      <c r="B308" s="18" t="s">
        <v>40</v>
      </c>
      <c r="C308" s="18" t="s">
        <v>20</v>
      </c>
      <c r="D308" s="18">
        <v>4150</v>
      </c>
      <c r="E308" s="18"/>
      <c r="F308" s="18">
        <v>505.8</v>
      </c>
      <c r="G308" s="18">
        <v>400</v>
      </c>
      <c r="H308" s="18">
        <v>38</v>
      </c>
      <c r="I308" s="18">
        <v>240</v>
      </c>
      <c r="J308" s="8">
        <f t="shared" si="12"/>
        <v>15440</v>
      </c>
      <c r="K308" s="27">
        <f t="shared" si="13"/>
        <v>3.3610122578094106E-3</v>
      </c>
      <c r="L308" s="18">
        <v>1.7</v>
      </c>
      <c r="M308" s="18"/>
      <c r="N308" s="18"/>
      <c r="O308" s="18"/>
      <c r="P308" s="18"/>
    </row>
    <row r="309" spans="1:16" x14ac:dyDescent="0.2">
      <c r="A309" s="23">
        <v>46104</v>
      </c>
      <c r="B309" s="18" t="s">
        <v>40</v>
      </c>
      <c r="C309" s="18" t="s">
        <v>20</v>
      </c>
      <c r="D309" s="18">
        <v>4152</v>
      </c>
      <c r="E309" s="18"/>
      <c r="F309" s="18">
        <v>167.5</v>
      </c>
      <c r="G309" s="18">
        <v>800</v>
      </c>
      <c r="H309" s="18">
        <v>9</v>
      </c>
      <c r="I309" s="18">
        <v>500</v>
      </c>
      <c r="J309" s="8">
        <f t="shared" si="12"/>
        <v>7700</v>
      </c>
      <c r="K309" s="27">
        <f t="shared" si="13"/>
        <v>2.3880597014925373E-3</v>
      </c>
      <c r="L309" s="18">
        <v>0.4</v>
      </c>
      <c r="M309" s="18"/>
      <c r="N309" s="18"/>
      <c r="O309" s="18"/>
      <c r="P309" s="18"/>
    </row>
    <row r="310" spans="1:16" x14ac:dyDescent="0.2">
      <c r="A310" s="23">
        <v>46104</v>
      </c>
      <c r="B310" s="18" t="s">
        <v>40</v>
      </c>
      <c r="C310" s="18" t="s">
        <v>15</v>
      </c>
      <c r="D310" s="18">
        <v>4117</v>
      </c>
      <c r="E310" s="18"/>
      <c r="F310" s="18">
        <v>633.9</v>
      </c>
      <c r="G310" s="18">
        <v>125</v>
      </c>
      <c r="H310" s="18">
        <v>47</v>
      </c>
      <c r="I310" s="18"/>
      <c r="J310" s="8">
        <f t="shared" si="12"/>
        <v>5875</v>
      </c>
      <c r="K310" s="27">
        <f t="shared" si="13"/>
        <v>1.3724562233790817E-2</v>
      </c>
      <c r="L310" s="18">
        <v>8.6999999999999993</v>
      </c>
      <c r="M310" s="18"/>
      <c r="N310" s="18"/>
      <c r="O310" s="18"/>
      <c r="P310" s="18"/>
    </row>
    <row r="311" spans="1:16" x14ac:dyDescent="0.2">
      <c r="A311" s="23">
        <v>46105</v>
      </c>
      <c r="B311" s="18" t="s">
        <v>54</v>
      </c>
      <c r="C311" s="18" t="s">
        <v>15</v>
      </c>
      <c r="D311" s="18">
        <v>4117</v>
      </c>
      <c r="E311" s="18" t="s">
        <v>208</v>
      </c>
      <c r="F311" s="18">
        <v>644.4</v>
      </c>
      <c r="G311" s="18">
        <v>125</v>
      </c>
      <c r="H311" s="18">
        <v>49</v>
      </c>
      <c r="I311" s="18">
        <v>45</v>
      </c>
      <c r="J311" s="8">
        <f t="shared" si="10"/>
        <v>6170</v>
      </c>
      <c r="K311" s="27">
        <f t="shared" si="11"/>
        <v>1.0242085661080074E-2</v>
      </c>
      <c r="L311" s="18">
        <v>6.6</v>
      </c>
      <c r="M311" s="18"/>
      <c r="N311" s="18"/>
      <c r="O311" s="18"/>
      <c r="P311" s="18"/>
    </row>
    <row r="312" spans="1:16" x14ac:dyDescent="0.2">
      <c r="A312" s="23">
        <v>46105</v>
      </c>
      <c r="B312" s="18" t="s">
        <v>54</v>
      </c>
      <c r="C312" s="18" t="s">
        <v>20</v>
      </c>
      <c r="D312" s="18">
        <v>4090</v>
      </c>
      <c r="E312" s="18" t="s">
        <v>393</v>
      </c>
      <c r="F312" s="18">
        <v>389.7</v>
      </c>
      <c r="G312" s="18">
        <v>1000</v>
      </c>
      <c r="H312" s="18">
        <v>25</v>
      </c>
      <c r="I312" s="18"/>
      <c r="J312" s="8">
        <f t="shared" si="10"/>
        <v>25000</v>
      </c>
      <c r="K312" s="27">
        <f t="shared" si="11"/>
        <v>3.8491147036181679E-2</v>
      </c>
      <c r="L312" s="18">
        <v>15</v>
      </c>
      <c r="M312" s="18"/>
      <c r="N312" s="18"/>
      <c r="O312" s="18"/>
      <c r="P312" s="18" t="s">
        <v>828</v>
      </c>
    </row>
    <row r="313" spans="1:16" x14ac:dyDescent="0.2">
      <c r="A313" s="23">
        <v>46105</v>
      </c>
      <c r="B313" s="18" t="s">
        <v>54</v>
      </c>
      <c r="C313" s="18" t="s">
        <v>33</v>
      </c>
      <c r="D313" s="18">
        <v>4171</v>
      </c>
      <c r="E313" s="18" t="s">
        <v>428</v>
      </c>
      <c r="F313" s="18">
        <v>138.69999999999999</v>
      </c>
      <c r="G313" s="18">
        <v>500</v>
      </c>
      <c r="H313" s="18">
        <v>15</v>
      </c>
      <c r="I313" s="18">
        <v>350</v>
      </c>
      <c r="J313" s="8">
        <f t="shared" si="10"/>
        <v>7850</v>
      </c>
      <c r="K313" s="27">
        <f t="shared" si="11"/>
        <v>3.3524121013900246E-2</v>
      </c>
      <c r="L313" s="18">
        <v>4.0999999999999996</v>
      </c>
      <c r="M313" s="18">
        <v>1.6</v>
      </c>
      <c r="N313" s="18"/>
      <c r="O313" s="18">
        <v>16.399999999999999</v>
      </c>
      <c r="P313" s="18"/>
    </row>
    <row r="314" spans="1:16" x14ac:dyDescent="0.2">
      <c r="A314" s="23">
        <v>46105</v>
      </c>
      <c r="B314" s="18" t="s">
        <v>54</v>
      </c>
      <c r="C314" s="18" t="s">
        <v>24</v>
      </c>
      <c r="D314" s="18">
        <v>4011</v>
      </c>
      <c r="E314" s="18" t="s">
        <v>49</v>
      </c>
      <c r="F314" s="18">
        <v>96</v>
      </c>
      <c r="G314" s="18">
        <v>5000</v>
      </c>
      <c r="H314" s="18">
        <v>17</v>
      </c>
      <c r="I314" s="18"/>
      <c r="J314" s="8">
        <f t="shared" si="10"/>
        <v>85000</v>
      </c>
      <c r="K314" s="27">
        <f t="shared" si="11"/>
        <v>0</v>
      </c>
      <c r="L314" s="18"/>
      <c r="M314" s="18"/>
      <c r="N314" s="18"/>
      <c r="O314" s="18"/>
      <c r="P314" s="18"/>
    </row>
    <row r="315" spans="1:16" x14ac:dyDescent="0.2">
      <c r="A315" s="23">
        <v>46105</v>
      </c>
      <c r="B315" s="18" t="s">
        <v>54</v>
      </c>
      <c r="C315" s="18" t="s">
        <v>27</v>
      </c>
      <c r="D315" s="18">
        <v>3666</v>
      </c>
      <c r="E315" s="18" t="s">
        <v>826</v>
      </c>
      <c r="F315" s="18">
        <v>187.4</v>
      </c>
      <c r="G315" s="18">
        <v>2000</v>
      </c>
      <c r="H315" s="18">
        <v>14</v>
      </c>
      <c r="I315" s="18">
        <v>1700</v>
      </c>
      <c r="J315" s="8">
        <f t="shared" si="10"/>
        <v>29700</v>
      </c>
      <c r="K315" s="27">
        <f t="shared" si="11"/>
        <v>4.5357524012806828E-2</v>
      </c>
      <c r="L315" s="18">
        <v>8.5</v>
      </c>
      <c r="M315" s="18">
        <v>6.5</v>
      </c>
      <c r="N315" s="18"/>
      <c r="O315" s="18"/>
      <c r="P315" s="18"/>
    </row>
    <row r="316" spans="1:16" x14ac:dyDescent="0.2">
      <c r="A316" s="23">
        <v>46105</v>
      </c>
      <c r="B316" s="18" t="s">
        <v>54</v>
      </c>
      <c r="C316" s="18" t="s">
        <v>33</v>
      </c>
      <c r="D316" s="18">
        <v>4074</v>
      </c>
      <c r="E316" s="18" t="s">
        <v>829</v>
      </c>
      <c r="F316" s="18">
        <v>322.3</v>
      </c>
      <c r="G316" s="18">
        <v>800</v>
      </c>
      <c r="H316" s="18">
        <v>42</v>
      </c>
      <c r="I316" s="18"/>
      <c r="J316" s="8">
        <f t="shared" si="10"/>
        <v>33600</v>
      </c>
      <c r="K316" s="27">
        <f t="shared" si="11"/>
        <v>5.0035739814152961E-3</v>
      </c>
      <c r="L316" s="18">
        <v>1.4</v>
      </c>
      <c r="M316" s="18"/>
      <c r="N316" s="18"/>
      <c r="O316" s="18">
        <v>42.5</v>
      </c>
      <c r="P316" s="18"/>
    </row>
    <row r="317" spans="1:16" x14ac:dyDescent="0.2">
      <c r="A317" s="23">
        <v>46105</v>
      </c>
      <c r="B317" s="18" t="s">
        <v>54</v>
      </c>
      <c r="C317" s="18" t="s">
        <v>15</v>
      </c>
      <c r="D317" s="18">
        <v>4118</v>
      </c>
      <c r="E317" s="18" t="s">
        <v>214</v>
      </c>
      <c r="F317" s="18">
        <v>615.4</v>
      </c>
      <c r="G317" s="18">
        <v>150</v>
      </c>
      <c r="H317" s="18">
        <v>37</v>
      </c>
      <c r="I317" s="18"/>
      <c r="J317" s="8">
        <f t="shared" si="10"/>
        <v>5550</v>
      </c>
      <c r="K317" s="27">
        <f t="shared" si="11"/>
        <v>2.2261943451413715E-2</v>
      </c>
      <c r="L317" s="18">
        <v>13.7</v>
      </c>
      <c r="M317" s="18"/>
      <c r="N317" s="18"/>
      <c r="O317" s="18"/>
      <c r="P317" s="18"/>
    </row>
    <row r="318" spans="1:16" x14ac:dyDescent="0.2">
      <c r="A318" s="23">
        <v>46105</v>
      </c>
      <c r="B318" s="18" t="s">
        <v>54</v>
      </c>
      <c r="C318" s="18" t="s">
        <v>15</v>
      </c>
      <c r="D318" s="18">
        <v>3823</v>
      </c>
      <c r="E318" s="18" t="s">
        <v>830</v>
      </c>
      <c r="F318" s="18">
        <v>215.2</v>
      </c>
      <c r="G318" s="18">
        <v>100</v>
      </c>
      <c r="H318" s="18">
        <v>13</v>
      </c>
      <c r="I318" s="18"/>
      <c r="J318" s="8">
        <f t="shared" si="10"/>
        <v>1300</v>
      </c>
      <c r="K318" s="27">
        <f t="shared" si="11"/>
        <v>6.1338289962825282E-2</v>
      </c>
      <c r="L318" s="18">
        <v>13.2</v>
      </c>
      <c r="M318" s="18"/>
      <c r="N318" s="18"/>
      <c r="O318" s="18"/>
      <c r="P318" s="18"/>
    </row>
    <row r="319" spans="1:16" x14ac:dyDescent="0.2">
      <c r="A319" s="23">
        <v>46105</v>
      </c>
      <c r="B319" s="18" t="s">
        <v>54</v>
      </c>
      <c r="C319" s="18" t="s">
        <v>20</v>
      </c>
      <c r="D319" s="18">
        <v>4093</v>
      </c>
      <c r="E319" s="18" t="s">
        <v>479</v>
      </c>
      <c r="F319" s="18">
        <v>248.3</v>
      </c>
      <c r="G319" s="18">
        <v>500</v>
      </c>
      <c r="H319" s="18">
        <v>26</v>
      </c>
      <c r="I319" s="18"/>
      <c r="J319" s="8">
        <f t="shared" si="10"/>
        <v>13000</v>
      </c>
      <c r="K319" s="27">
        <f t="shared" si="11"/>
        <v>0.12484897301651228</v>
      </c>
      <c r="L319" s="18">
        <v>31</v>
      </c>
      <c r="M319" s="18"/>
      <c r="N319" s="18"/>
      <c r="O319" s="18"/>
      <c r="P319" s="18"/>
    </row>
    <row r="320" spans="1:16" x14ac:dyDescent="0.2">
      <c r="A320" s="23">
        <v>46105</v>
      </c>
      <c r="B320" s="18" t="s">
        <v>54</v>
      </c>
      <c r="C320" s="18" t="s">
        <v>27</v>
      </c>
      <c r="D320" s="18">
        <v>3849</v>
      </c>
      <c r="E320" s="18" t="s">
        <v>831</v>
      </c>
      <c r="F320" s="18">
        <v>123</v>
      </c>
      <c r="G320" s="18">
        <v>1500</v>
      </c>
      <c r="H320" s="18">
        <v>10</v>
      </c>
      <c r="I320" s="18">
        <v>300</v>
      </c>
      <c r="J320" s="8">
        <f t="shared" si="10"/>
        <v>15300</v>
      </c>
      <c r="K320" s="27">
        <f t="shared" si="11"/>
        <v>7.2727272727272738E-2</v>
      </c>
      <c r="L320" s="18">
        <v>8.8000000000000007</v>
      </c>
      <c r="M320" s="18"/>
      <c r="N320" s="18"/>
      <c r="O320" s="18">
        <v>2</v>
      </c>
      <c r="P320" s="18"/>
    </row>
    <row r="321" spans="1:16" x14ac:dyDescent="0.2">
      <c r="A321" s="23">
        <v>46105</v>
      </c>
      <c r="B321" s="18" t="s">
        <v>54</v>
      </c>
      <c r="C321" s="18" t="s">
        <v>27</v>
      </c>
      <c r="D321" s="18">
        <v>3664</v>
      </c>
      <c r="E321" s="18" t="s">
        <v>757</v>
      </c>
      <c r="F321" s="18">
        <v>105.7</v>
      </c>
      <c r="G321" s="18">
        <v>1000</v>
      </c>
      <c r="H321" s="18">
        <v>12</v>
      </c>
      <c r="I321" s="18"/>
      <c r="J321" s="8">
        <f t="shared" si="10"/>
        <v>12000</v>
      </c>
      <c r="K321" s="27">
        <f t="shared" si="11"/>
        <v>6.244087038789025E-2</v>
      </c>
      <c r="L321" s="18">
        <v>6.6</v>
      </c>
      <c r="M321" s="18"/>
      <c r="N321" s="18"/>
      <c r="O321" s="18"/>
      <c r="P321" s="18"/>
    </row>
    <row r="322" spans="1:16" x14ac:dyDescent="0.2">
      <c r="A322" s="23">
        <v>46106</v>
      </c>
      <c r="B322" s="18" t="s">
        <v>423</v>
      </c>
      <c r="C322" s="18" t="s">
        <v>15</v>
      </c>
      <c r="D322" s="18">
        <v>3823</v>
      </c>
      <c r="E322" s="18" t="s">
        <v>830</v>
      </c>
      <c r="F322" s="18">
        <v>116.8</v>
      </c>
      <c r="G322" s="18">
        <v>100</v>
      </c>
      <c r="H322" s="18">
        <v>7</v>
      </c>
      <c r="I322" s="18">
        <v>50</v>
      </c>
      <c r="J322" s="8">
        <f t="shared" si="10"/>
        <v>750</v>
      </c>
      <c r="K322" s="27">
        <f t="shared" si="11"/>
        <v>6.8493150684931512E-3</v>
      </c>
      <c r="L322" s="18">
        <v>0.8</v>
      </c>
      <c r="M322" s="18"/>
      <c r="N322" s="18">
        <v>8.1999999999999993</v>
      </c>
      <c r="O322" s="18"/>
      <c r="P322" s="18"/>
    </row>
    <row r="323" spans="1:16" x14ac:dyDescent="0.2">
      <c r="A323" s="23">
        <v>46106</v>
      </c>
      <c r="B323" s="18" t="s">
        <v>423</v>
      </c>
      <c r="C323" s="18" t="s">
        <v>15</v>
      </c>
      <c r="D323" s="18">
        <v>4050</v>
      </c>
      <c r="E323" s="18" t="s">
        <v>832</v>
      </c>
      <c r="F323" s="18">
        <v>628.6</v>
      </c>
      <c r="G323" s="18">
        <v>500</v>
      </c>
      <c r="H323" s="18">
        <v>40</v>
      </c>
      <c r="I323" s="18">
        <v>400</v>
      </c>
      <c r="J323" s="8">
        <f t="shared" ref="J323:J363" si="14">G323*H323+I323</f>
        <v>20400</v>
      </c>
      <c r="K323" s="27">
        <f t="shared" si="11"/>
        <v>1.4953865733375756E-2</v>
      </c>
      <c r="L323" s="18">
        <v>9.4</v>
      </c>
      <c r="M323" s="18"/>
      <c r="N323" s="18"/>
      <c r="O323" s="18"/>
      <c r="P323" s="18"/>
    </row>
    <row r="324" spans="1:16" x14ac:dyDescent="0.2">
      <c r="A324" s="23">
        <v>46106</v>
      </c>
      <c r="B324" s="18" t="s">
        <v>423</v>
      </c>
      <c r="C324" s="18" t="s">
        <v>15</v>
      </c>
      <c r="D324" s="18">
        <v>4091</v>
      </c>
      <c r="E324" s="18" t="s">
        <v>833</v>
      </c>
      <c r="F324" s="18">
        <v>311.2</v>
      </c>
      <c r="G324" s="18">
        <v>500</v>
      </c>
      <c r="H324" s="18">
        <v>19</v>
      </c>
      <c r="I324" s="18">
        <v>140</v>
      </c>
      <c r="J324" s="8">
        <f t="shared" si="14"/>
        <v>9640</v>
      </c>
      <c r="K324" s="27">
        <f t="shared" si="11"/>
        <v>2.1208226221079689E-2</v>
      </c>
      <c r="L324" s="18">
        <v>6.6</v>
      </c>
      <c r="M324" s="18"/>
      <c r="N324" s="18">
        <v>14.1</v>
      </c>
      <c r="O324" s="18"/>
      <c r="P324" s="18"/>
    </row>
    <row r="325" spans="1:16" x14ac:dyDescent="0.2">
      <c r="A325" s="23">
        <v>46106</v>
      </c>
      <c r="B325" s="18" t="s">
        <v>423</v>
      </c>
      <c r="C325" s="18" t="s">
        <v>15</v>
      </c>
      <c r="D325" s="18">
        <v>4089</v>
      </c>
      <c r="E325" s="18" t="s">
        <v>834</v>
      </c>
      <c r="F325" s="18">
        <v>569.29999999999995</v>
      </c>
      <c r="G325" s="18">
        <v>500</v>
      </c>
      <c r="H325" s="18">
        <v>43</v>
      </c>
      <c r="I325" s="18">
        <v>180</v>
      </c>
      <c r="J325" s="8">
        <f t="shared" si="14"/>
        <v>21680</v>
      </c>
      <c r="K325" s="27">
        <f t="shared" si="11"/>
        <v>1.3349727735815914E-2</v>
      </c>
      <c r="L325" s="18">
        <v>7.6</v>
      </c>
      <c r="M325" s="18"/>
      <c r="N325" s="18"/>
      <c r="O325" s="18"/>
      <c r="P325" s="18"/>
    </row>
    <row r="326" spans="1:16" x14ac:dyDescent="0.2">
      <c r="A326" s="23">
        <v>46106</v>
      </c>
      <c r="B326" s="18" t="s">
        <v>423</v>
      </c>
      <c r="C326" s="18" t="s">
        <v>20</v>
      </c>
      <c r="D326" s="18">
        <v>4093</v>
      </c>
      <c r="E326" s="18" t="s">
        <v>479</v>
      </c>
      <c r="F326" s="18">
        <v>579.5</v>
      </c>
      <c r="G326" s="18">
        <v>500</v>
      </c>
      <c r="H326" s="18">
        <v>49</v>
      </c>
      <c r="I326" s="18"/>
      <c r="J326" s="8">
        <f t="shared" si="14"/>
        <v>24500</v>
      </c>
      <c r="K326" s="27">
        <f t="shared" si="11"/>
        <v>2.4158757549611731E-3</v>
      </c>
      <c r="L326" s="18">
        <v>1.4</v>
      </c>
      <c r="M326" s="18"/>
      <c r="N326" s="18"/>
      <c r="O326" s="18"/>
      <c r="P326" s="18"/>
    </row>
    <row r="327" spans="1:16" x14ac:dyDescent="0.2">
      <c r="A327" s="23">
        <v>46106</v>
      </c>
      <c r="B327" s="18" t="s">
        <v>423</v>
      </c>
      <c r="C327" s="18" t="s">
        <v>20</v>
      </c>
      <c r="D327" s="18">
        <v>4085</v>
      </c>
      <c r="E327" s="18" t="s">
        <v>297</v>
      </c>
      <c r="F327" s="18">
        <v>548.79999999999995</v>
      </c>
      <c r="G327" s="18">
        <v>1200</v>
      </c>
      <c r="H327" s="18">
        <v>59</v>
      </c>
      <c r="I327" s="18">
        <v>800</v>
      </c>
      <c r="J327" s="8">
        <f t="shared" si="14"/>
        <v>71600</v>
      </c>
      <c r="K327" s="27">
        <f t="shared" si="11"/>
        <v>5.648688046647231E-3</v>
      </c>
      <c r="L327" s="18">
        <v>3.1</v>
      </c>
      <c r="M327" s="18"/>
      <c r="N327" s="18"/>
      <c r="O327" s="18"/>
      <c r="P327" s="18"/>
    </row>
    <row r="328" spans="1:16" x14ac:dyDescent="0.2">
      <c r="A328" s="23">
        <v>46106</v>
      </c>
      <c r="B328" s="18" t="s">
        <v>423</v>
      </c>
      <c r="C328" s="18" t="s">
        <v>20</v>
      </c>
      <c r="D328" s="18">
        <v>4149</v>
      </c>
      <c r="E328" s="18" t="s">
        <v>835</v>
      </c>
      <c r="F328" s="18">
        <v>47.3</v>
      </c>
      <c r="G328" s="18">
        <v>1000</v>
      </c>
      <c r="H328" s="18">
        <v>11</v>
      </c>
      <c r="I328" s="18"/>
      <c r="J328" s="8">
        <f t="shared" si="14"/>
        <v>11000</v>
      </c>
      <c r="K328" s="27">
        <f t="shared" si="11"/>
        <v>1.4799154334038054E-2</v>
      </c>
      <c r="L328" s="18">
        <v>0.7</v>
      </c>
      <c r="M328" s="18"/>
      <c r="N328" s="18"/>
      <c r="O328" s="18"/>
      <c r="P328" s="18"/>
    </row>
    <row r="329" spans="1:16" x14ac:dyDescent="0.2">
      <c r="A329" s="23">
        <v>46106</v>
      </c>
      <c r="B329" s="18" t="s">
        <v>423</v>
      </c>
      <c r="C329" s="18" t="s">
        <v>24</v>
      </c>
      <c r="D329" s="18">
        <v>4011</v>
      </c>
      <c r="E329" s="18" t="s">
        <v>49</v>
      </c>
      <c r="F329" s="18">
        <v>102.5</v>
      </c>
      <c r="G329" s="18">
        <v>5000</v>
      </c>
      <c r="H329" s="18">
        <v>12</v>
      </c>
      <c r="I329" s="18"/>
      <c r="J329" s="8">
        <f t="shared" si="14"/>
        <v>60000</v>
      </c>
      <c r="K329" s="27">
        <f t="shared" si="11"/>
        <v>6.8292682926829268E-3</v>
      </c>
      <c r="L329" s="18">
        <v>0.7</v>
      </c>
      <c r="M329" s="18"/>
      <c r="N329" s="18"/>
      <c r="O329" s="18"/>
      <c r="P329" s="18"/>
    </row>
    <row r="330" spans="1:16" x14ac:dyDescent="0.2">
      <c r="A330" s="23">
        <v>46106</v>
      </c>
      <c r="B330" s="18" t="s">
        <v>423</v>
      </c>
      <c r="C330" s="18" t="s">
        <v>24</v>
      </c>
      <c r="D330" s="18">
        <v>4177</v>
      </c>
      <c r="E330" s="18" t="s">
        <v>545</v>
      </c>
      <c r="F330" s="18">
        <v>104.9</v>
      </c>
      <c r="G330" s="18">
        <v>400</v>
      </c>
      <c r="H330" s="18">
        <v>10</v>
      </c>
      <c r="I330" s="18">
        <v>135</v>
      </c>
      <c r="J330" s="8">
        <f t="shared" si="14"/>
        <v>4135</v>
      </c>
      <c r="K330" s="27">
        <f t="shared" si="11"/>
        <v>0</v>
      </c>
      <c r="L330" s="18"/>
      <c r="M330" s="18">
        <v>14.4</v>
      </c>
      <c r="N330" s="18"/>
      <c r="O330" s="18">
        <v>1.1000000000000001</v>
      </c>
      <c r="P330" s="18"/>
    </row>
    <row r="331" spans="1:16" x14ac:dyDescent="0.2">
      <c r="A331" s="23">
        <v>46106</v>
      </c>
      <c r="B331" s="18" t="s">
        <v>423</v>
      </c>
      <c r="C331" s="18" t="s">
        <v>24</v>
      </c>
      <c r="D331" s="18">
        <v>4176</v>
      </c>
      <c r="E331" s="18" t="s">
        <v>545</v>
      </c>
      <c r="F331" s="18">
        <v>53</v>
      </c>
      <c r="G331" s="18">
        <v>400</v>
      </c>
      <c r="H331" s="18">
        <v>10</v>
      </c>
      <c r="I331" s="18"/>
      <c r="J331" s="8">
        <f t="shared" si="14"/>
        <v>4000</v>
      </c>
      <c r="K331" s="27">
        <f t="shared" si="11"/>
        <v>0</v>
      </c>
      <c r="L331" s="18"/>
      <c r="M331" s="18">
        <v>3.4</v>
      </c>
      <c r="N331" s="18"/>
      <c r="O331" s="18"/>
      <c r="P331" s="18"/>
    </row>
    <row r="332" spans="1:16" x14ac:dyDescent="0.2">
      <c r="A332" s="23">
        <v>46106</v>
      </c>
      <c r="B332" s="18" t="s">
        <v>423</v>
      </c>
      <c r="C332" s="18" t="s">
        <v>27</v>
      </c>
      <c r="D332" s="18">
        <v>3664</v>
      </c>
      <c r="E332" s="18" t="s">
        <v>757</v>
      </c>
      <c r="F332" s="18">
        <v>44.3</v>
      </c>
      <c r="G332" s="18">
        <v>1000</v>
      </c>
      <c r="H332" s="18">
        <v>6</v>
      </c>
      <c r="I332" s="18"/>
      <c r="J332" s="8">
        <f t="shared" si="14"/>
        <v>6000</v>
      </c>
      <c r="K332" s="27">
        <f t="shared" si="11"/>
        <v>0.12189616252821672</v>
      </c>
      <c r="L332" s="18">
        <v>5.4</v>
      </c>
      <c r="M332" s="18"/>
      <c r="N332" s="18"/>
      <c r="O332" s="18"/>
      <c r="P332" s="18"/>
    </row>
    <row r="333" spans="1:16" x14ac:dyDescent="0.2">
      <c r="A333" s="23">
        <v>46106</v>
      </c>
      <c r="B333" s="18" t="s">
        <v>423</v>
      </c>
      <c r="C333" s="18" t="s">
        <v>27</v>
      </c>
      <c r="D333" s="18">
        <v>3846</v>
      </c>
      <c r="E333" s="18" t="s">
        <v>836</v>
      </c>
      <c r="F333" s="18">
        <v>266.8</v>
      </c>
      <c r="G333" s="18">
        <v>500</v>
      </c>
      <c r="H333" s="18">
        <v>51</v>
      </c>
      <c r="I333" s="18">
        <v>250</v>
      </c>
      <c r="J333" s="8">
        <f t="shared" si="14"/>
        <v>25750</v>
      </c>
      <c r="K333" s="27">
        <f t="shared" si="11"/>
        <v>0</v>
      </c>
      <c r="L333" s="18"/>
      <c r="M333" s="18">
        <v>9.5</v>
      </c>
      <c r="N333" s="18">
        <v>12</v>
      </c>
      <c r="O333" s="18"/>
      <c r="P333" s="18"/>
    </row>
    <row r="334" spans="1:16" x14ac:dyDescent="0.2">
      <c r="A334" s="23">
        <v>46106</v>
      </c>
      <c r="B334" s="18" t="s">
        <v>423</v>
      </c>
      <c r="C334" s="18" t="s">
        <v>27</v>
      </c>
      <c r="D334" s="18">
        <v>3587</v>
      </c>
      <c r="E334" s="18" t="s">
        <v>837</v>
      </c>
      <c r="F334" s="18">
        <v>138.69999999999999</v>
      </c>
      <c r="G334" s="18">
        <v>1000</v>
      </c>
      <c r="H334" s="18">
        <v>9</v>
      </c>
      <c r="I334" s="18"/>
      <c r="J334" s="8">
        <f t="shared" si="14"/>
        <v>9000</v>
      </c>
      <c r="K334" s="27">
        <f t="shared" si="11"/>
        <v>1.2977649603460708E-2</v>
      </c>
      <c r="L334" s="18">
        <v>1.8</v>
      </c>
      <c r="M334" s="18">
        <v>2.6</v>
      </c>
      <c r="N334" s="18"/>
      <c r="O334" s="18"/>
      <c r="P334" s="18"/>
    </row>
    <row r="335" spans="1:16" x14ac:dyDescent="0.2">
      <c r="A335" s="23">
        <v>46107</v>
      </c>
      <c r="B335" s="18" t="s">
        <v>40</v>
      </c>
      <c r="C335" s="18" t="s">
        <v>15</v>
      </c>
      <c r="D335" s="18">
        <v>4154</v>
      </c>
      <c r="E335" s="18" t="s">
        <v>838</v>
      </c>
      <c r="F335" s="18">
        <v>25.5</v>
      </c>
      <c r="G335" s="18">
        <v>175</v>
      </c>
      <c r="H335" s="18">
        <v>1</v>
      </c>
      <c r="I335" s="18"/>
      <c r="J335" s="8">
        <f t="shared" si="14"/>
        <v>175</v>
      </c>
      <c r="K335" s="27">
        <f t="shared" si="11"/>
        <v>8.6274509803921581E-2</v>
      </c>
      <c r="L335" s="18">
        <v>2.2000000000000002</v>
      </c>
      <c r="M335" s="18"/>
      <c r="N335" s="18"/>
      <c r="O335" s="18"/>
      <c r="P335" s="18" t="s">
        <v>839</v>
      </c>
    </row>
    <row r="336" spans="1:16" x14ac:dyDescent="0.2">
      <c r="A336" s="23">
        <v>46107</v>
      </c>
      <c r="B336" s="18" t="s">
        <v>40</v>
      </c>
      <c r="C336" s="18" t="s">
        <v>15</v>
      </c>
      <c r="D336" s="18">
        <v>4203</v>
      </c>
      <c r="E336" s="18" t="s">
        <v>840</v>
      </c>
      <c r="F336" s="18">
        <v>314</v>
      </c>
      <c r="G336" s="18">
        <v>2000</v>
      </c>
      <c r="H336" s="18">
        <v>31</v>
      </c>
      <c r="I336" s="18">
        <v>1200</v>
      </c>
      <c r="J336" s="8">
        <f t="shared" si="14"/>
        <v>63200</v>
      </c>
      <c r="K336" s="27">
        <f t="shared" si="11"/>
        <v>3.1847133757961785E-3</v>
      </c>
      <c r="L336" s="18">
        <v>1</v>
      </c>
      <c r="M336" s="18"/>
      <c r="N336" s="18"/>
      <c r="O336" s="18"/>
      <c r="P336" s="18"/>
    </row>
    <row r="337" spans="1:16" x14ac:dyDescent="0.2">
      <c r="A337" s="23">
        <v>46107</v>
      </c>
      <c r="B337" s="18" t="s">
        <v>40</v>
      </c>
      <c r="C337" s="18" t="s">
        <v>15</v>
      </c>
      <c r="D337" s="18">
        <v>3888</v>
      </c>
      <c r="E337" s="18" t="s">
        <v>841</v>
      </c>
      <c r="F337" s="18">
        <v>539.79999999999995</v>
      </c>
      <c r="G337" s="18">
        <v>125</v>
      </c>
      <c r="H337" s="18">
        <v>36</v>
      </c>
      <c r="I337" s="18"/>
      <c r="J337" s="8">
        <f t="shared" si="14"/>
        <v>4500</v>
      </c>
      <c r="K337" s="27">
        <f t="shared" si="11"/>
        <v>1.018895887365691E-2</v>
      </c>
      <c r="L337" s="18">
        <v>5.5</v>
      </c>
      <c r="M337" s="18"/>
      <c r="N337" s="18"/>
      <c r="O337" s="18"/>
      <c r="P337" s="18"/>
    </row>
    <row r="338" spans="1:16" x14ac:dyDescent="0.2">
      <c r="A338" s="23">
        <v>46107</v>
      </c>
      <c r="B338" s="18" t="s">
        <v>40</v>
      </c>
      <c r="C338" s="18" t="s">
        <v>20</v>
      </c>
      <c r="D338" s="18">
        <v>4149</v>
      </c>
      <c r="E338" s="18" t="s">
        <v>835</v>
      </c>
      <c r="F338" s="18">
        <v>189.5</v>
      </c>
      <c r="G338" s="18">
        <v>1000</v>
      </c>
      <c r="H338" s="18">
        <v>26</v>
      </c>
      <c r="I338" s="18">
        <v>600</v>
      </c>
      <c r="J338" s="8">
        <f t="shared" si="14"/>
        <v>26600</v>
      </c>
      <c r="K338" s="27">
        <f t="shared" si="11"/>
        <v>2.6385224274406332E-3</v>
      </c>
      <c r="L338" s="18">
        <v>0.5</v>
      </c>
      <c r="M338" s="18"/>
      <c r="N338" s="18"/>
      <c r="O338" s="18"/>
      <c r="P338" s="18"/>
    </row>
    <row r="339" spans="1:16" x14ac:dyDescent="0.2">
      <c r="A339" s="23">
        <v>46107</v>
      </c>
      <c r="B339" s="18" t="s">
        <v>40</v>
      </c>
      <c r="C339" s="18" t="s">
        <v>20</v>
      </c>
      <c r="D339" s="18">
        <v>4092</v>
      </c>
      <c r="E339" s="18" t="s">
        <v>842</v>
      </c>
      <c r="F339" s="18">
        <v>157.9</v>
      </c>
      <c r="G339" s="18">
        <v>500</v>
      </c>
      <c r="H339" s="18">
        <v>14</v>
      </c>
      <c r="I339" s="18"/>
      <c r="J339" s="8">
        <f t="shared" si="14"/>
        <v>7000</v>
      </c>
      <c r="K339" s="27">
        <f t="shared" si="11"/>
        <v>5.0664977834072198E-3</v>
      </c>
      <c r="L339" s="18">
        <v>0.8</v>
      </c>
      <c r="M339" s="18"/>
      <c r="N339" s="18"/>
      <c r="O339" s="18"/>
      <c r="P339" s="18" t="s">
        <v>843</v>
      </c>
    </row>
    <row r="340" spans="1:16" x14ac:dyDescent="0.2">
      <c r="A340" s="23">
        <v>46107</v>
      </c>
      <c r="B340" s="18" t="s">
        <v>40</v>
      </c>
      <c r="C340" s="18" t="s">
        <v>24</v>
      </c>
      <c r="D340" s="18">
        <v>4176</v>
      </c>
      <c r="E340" s="18" t="s">
        <v>545</v>
      </c>
      <c r="F340" s="18">
        <v>161</v>
      </c>
      <c r="G340" s="18">
        <v>400</v>
      </c>
      <c r="H340" s="18">
        <v>13</v>
      </c>
      <c r="I340" s="18">
        <v>380</v>
      </c>
      <c r="J340" s="8">
        <f t="shared" si="14"/>
        <v>5580</v>
      </c>
      <c r="K340" s="27">
        <f t="shared" si="11"/>
        <v>0</v>
      </c>
      <c r="L340" s="18"/>
      <c r="M340" s="18">
        <v>5.7</v>
      </c>
      <c r="N340" s="18"/>
      <c r="O340" s="18"/>
      <c r="P340" s="18"/>
    </row>
    <row r="341" spans="1:16" x14ac:dyDescent="0.2">
      <c r="A341" s="23">
        <v>46107</v>
      </c>
      <c r="B341" s="18" t="s">
        <v>40</v>
      </c>
      <c r="C341" s="18" t="s">
        <v>24</v>
      </c>
      <c r="D341" s="18">
        <v>4178</v>
      </c>
      <c r="E341" s="18" t="s">
        <v>545</v>
      </c>
      <c r="F341" s="18">
        <v>231.2</v>
      </c>
      <c r="G341" s="18">
        <v>400</v>
      </c>
      <c r="H341" s="18">
        <v>29</v>
      </c>
      <c r="I341" s="18">
        <v>98</v>
      </c>
      <c r="J341" s="8">
        <f t="shared" si="14"/>
        <v>11698</v>
      </c>
      <c r="K341" s="27">
        <f>IFERROR(L341/(F341-O341)*100%,0)</f>
        <v>0</v>
      </c>
      <c r="L341" s="18"/>
      <c r="M341" s="18">
        <v>11.5</v>
      </c>
      <c r="N341" s="18"/>
      <c r="O341" s="18"/>
      <c r="P341" s="18"/>
    </row>
    <row r="342" spans="1:16" x14ac:dyDescent="0.2">
      <c r="A342" s="23">
        <v>46107</v>
      </c>
      <c r="B342" s="18" t="s">
        <v>40</v>
      </c>
      <c r="C342" s="18" t="s">
        <v>24</v>
      </c>
      <c r="D342" s="18">
        <v>3990</v>
      </c>
      <c r="E342" s="18" t="s">
        <v>844</v>
      </c>
      <c r="F342" s="18">
        <v>68.8</v>
      </c>
      <c r="G342" s="18">
        <v>2000</v>
      </c>
      <c r="H342" s="18">
        <v>16</v>
      </c>
      <c r="I342" s="18"/>
      <c r="J342" s="8">
        <f t="shared" si="14"/>
        <v>32000</v>
      </c>
      <c r="K342" s="27">
        <f t="shared" si="11"/>
        <v>1.4534883720930235E-3</v>
      </c>
      <c r="L342" s="18">
        <v>0.1</v>
      </c>
      <c r="M342" s="18"/>
      <c r="N342" s="18"/>
      <c r="O342" s="18"/>
      <c r="P342" s="18"/>
    </row>
    <row r="343" spans="1:16" x14ac:dyDescent="0.2">
      <c r="A343" s="23">
        <v>46107</v>
      </c>
      <c r="B343" s="18" t="s">
        <v>40</v>
      </c>
      <c r="C343" s="18" t="s">
        <v>27</v>
      </c>
      <c r="D343" s="18">
        <v>3587</v>
      </c>
      <c r="E343" s="18" t="s">
        <v>837</v>
      </c>
      <c r="F343" s="18">
        <v>95</v>
      </c>
      <c r="G343" s="18">
        <v>1000</v>
      </c>
      <c r="H343" s="18">
        <v>8</v>
      </c>
      <c r="I343" s="18">
        <v>570</v>
      </c>
      <c r="J343" s="8">
        <f t="shared" si="14"/>
        <v>8570</v>
      </c>
      <c r="K343" s="27">
        <f>IFERROR(L343/(F343-O343)*100%,0)</f>
        <v>6.3157894736842104E-3</v>
      </c>
      <c r="L343" s="18">
        <v>0.6</v>
      </c>
      <c r="M343" s="18">
        <v>10.6</v>
      </c>
      <c r="N343" s="18">
        <v>0.5</v>
      </c>
      <c r="O343" s="18"/>
      <c r="P343" s="18"/>
    </row>
    <row r="344" spans="1:16" x14ac:dyDescent="0.2">
      <c r="A344" s="23">
        <v>46107</v>
      </c>
      <c r="B344" s="18" t="s">
        <v>40</v>
      </c>
      <c r="C344" s="18" t="s">
        <v>27</v>
      </c>
      <c r="D344" s="18">
        <v>3995</v>
      </c>
      <c r="E344" s="18" t="s">
        <v>845</v>
      </c>
      <c r="F344" s="18">
        <v>323.5</v>
      </c>
      <c r="G344" s="18">
        <v>250</v>
      </c>
      <c r="H344" s="18">
        <v>26</v>
      </c>
      <c r="I344" s="18">
        <v>150</v>
      </c>
      <c r="J344" s="8">
        <f t="shared" si="14"/>
        <v>6650</v>
      </c>
      <c r="K344" s="27">
        <f t="shared" si="11"/>
        <v>8.9644513137557957E-3</v>
      </c>
      <c r="L344" s="18">
        <v>2.9</v>
      </c>
      <c r="M344" s="18"/>
      <c r="N344" s="18"/>
      <c r="O344" s="18"/>
      <c r="P344" s="18"/>
    </row>
    <row r="345" spans="1:16" x14ac:dyDescent="0.2">
      <c r="A345" s="23">
        <v>46107</v>
      </c>
      <c r="B345" s="18" t="s">
        <v>40</v>
      </c>
      <c r="C345" s="18" t="s">
        <v>20</v>
      </c>
      <c r="D345" s="18">
        <v>4064</v>
      </c>
      <c r="E345" s="18" t="s">
        <v>176</v>
      </c>
      <c r="F345" s="18">
        <v>147.4</v>
      </c>
      <c r="G345" s="18">
        <v>2000</v>
      </c>
      <c r="H345" s="18">
        <v>13</v>
      </c>
      <c r="I345" s="18">
        <v>740</v>
      </c>
      <c r="J345" s="8">
        <f t="shared" si="14"/>
        <v>26740</v>
      </c>
      <c r="K345" s="27">
        <f t="shared" si="11"/>
        <v>4.7489823609226586E-3</v>
      </c>
      <c r="L345" s="18">
        <v>0.7</v>
      </c>
      <c r="M345" s="18"/>
      <c r="N345" s="18"/>
      <c r="O345" s="18"/>
      <c r="P345" s="18"/>
    </row>
    <row r="346" spans="1:16" x14ac:dyDescent="0.2">
      <c r="A346" s="23">
        <v>46107</v>
      </c>
      <c r="B346" s="18" t="s">
        <v>40</v>
      </c>
      <c r="C346" s="18" t="s">
        <v>20</v>
      </c>
      <c r="D346" s="18">
        <v>4015</v>
      </c>
      <c r="E346" s="18" t="s">
        <v>846</v>
      </c>
      <c r="F346" s="18">
        <v>55</v>
      </c>
      <c r="G346" s="18">
        <v>600</v>
      </c>
      <c r="H346" s="18">
        <v>3</v>
      </c>
      <c r="I346" s="18"/>
      <c r="J346" s="8">
        <f t="shared" si="14"/>
        <v>1800</v>
      </c>
      <c r="K346" s="27">
        <f t="shared" si="11"/>
        <v>3.4545454545454546E-2</v>
      </c>
      <c r="L346" s="18">
        <v>1.9</v>
      </c>
      <c r="M346" s="18"/>
      <c r="N346" s="18"/>
      <c r="O346" s="18"/>
      <c r="P346" s="18"/>
    </row>
    <row r="347" spans="1:16" x14ac:dyDescent="0.2">
      <c r="A347" s="23">
        <v>46107</v>
      </c>
      <c r="B347" s="18" t="s">
        <v>40</v>
      </c>
      <c r="C347" s="18" t="s">
        <v>27</v>
      </c>
      <c r="D347" s="18">
        <v>3712</v>
      </c>
      <c r="E347" s="18" t="s">
        <v>618</v>
      </c>
      <c r="F347" s="18">
        <v>256.39999999999998</v>
      </c>
      <c r="G347" s="18">
        <v>200</v>
      </c>
      <c r="H347" s="18">
        <v>15</v>
      </c>
      <c r="I347" s="18">
        <v>75</v>
      </c>
      <c r="J347" s="8">
        <f t="shared" si="14"/>
        <v>3075</v>
      </c>
      <c r="K347" s="27">
        <f t="shared" si="11"/>
        <v>2.5029331247555731E-2</v>
      </c>
      <c r="L347" s="18">
        <v>6.4</v>
      </c>
      <c r="M347" s="18">
        <v>7.6</v>
      </c>
      <c r="N347" s="18"/>
      <c r="O347" s="18">
        <v>0.7</v>
      </c>
      <c r="P347" s="18"/>
    </row>
    <row r="348" spans="1:16" x14ac:dyDescent="0.2">
      <c r="A348" s="23">
        <v>46107</v>
      </c>
      <c r="B348" s="18" t="s">
        <v>40</v>
      </c>
      <c r="C348" s="18" t="s">
        <v>27</v>
      </c>
      <c r="D348" s="18">
        <v>4014</v>
      </c>
      <c r="E348" s="18" t="s">
        <v>847</v>
      </c>
      <c r="F348" s="18">
        <v>65.900000000000006</v>
      </c>
      <c r="G348" s="18">
        <v>1000</v>
      </c>
      <c r="H348" s="18">
        <v>9</v>
      </c>
      <c r="I348" s="18"/>
      <c r="J348" s="8">
        <f t="shared" si="14"/>
        <v>9000</v>
      </c>
      <c r="K348" s="27">
        <f t="shared" si="11"/>
        <v>2.1244309559939299E-2</v>
      </c>
      <c r="L348" s="18">
        <v>1.4</v>
      </c>
      <c r="M348" s="18"/>
      <c r="N348" s="18"/>
      <c r="O348" s="18"/>
      <c r="P348" s="18"/>
    </row>
    <row r="349" spans="1:16" x14ac:dyDescent="0.2">
      <c r="A349" s="23">
        <v>46108</v>
      </c>
      <c r="B349" s="18" t="s">
        <v>54</v>
      </c>
      <c r="C349" s="18" t="s">
        <v>24</v>
      </c>
      <c r="D349" s="18">
        <v>3990</v>
      </c>
      <c r="E349" s="18" t="s">
        <v>844</v>
      </c>
      <c r="F349" s="18">
        <v>48</v>
      </c>
      <c r="G349" s="18">
        <v>2000</v>
      </c>
      <c r="H349" s="18">
        <v>8</v>
      </c>
      <c r="I349" s="18">
        <v>1400</v>
      </c>
      <c r="J349" s="8">
        <f t="shared" si="14"/>
        <v>17400</v>
      </c>
      <c r="K349" s="27">
        <f t="shared" si="11"/>
        <v>6.2499999999999995E-3</v>
      </c>
      <c r="L349" s="18">
        <v>0.3</v>
      </c>
      <c r="M349" s="18">
        <v>3.5</v>
      </c>
      <c r="N349" s="18"/>
      <c r="O349" s="18"/>
      <c r="P349" s="18"/>
    </row>
    <row r="350" spans="1:16" x14ac:dyDescent="0.2">
      <c r="A350" s="23">
        <v>46108</v>
      </c>
      <c r="B350" s="18" t="s">
        <v>54</v>
      </c>
      <c r="C350" s="18" t="s">
        <v>27</v>
      </c>
      <c r="D350" s="18">
        <v>4014</v>
      </c>
      <c r="E350" s="18" t="s">
        <v>847</v>
      </c>
      <c r="F350" s="18">
        <v>32.6</v>
      </c>
      <c r="G350" s="18">
        <v>1000</v>
      </c>
      <c r="H350" s="18">
        <v>1</v>
      </c>
      <c r="I350" s="18">
        <v>800</v>
      </c>
      <c r="J350" s="8">
        <f t="shared" si="14"/>
        <v>1800</v>
      </c>
      <c r="K350" s="27">
        <f t="shared" si="11"/>
        <v>3.0674846625766872E-3</v>
      </c>
      <c r="L350" s="18">
        <v>0.1</v>
      </c>
      <c r="M350" s="18">
        <v>3.4</v>
      </c>
      <c r="N350" s="18"/>
      <c r="O350" s="18"/>
      <c r="P350" s="18"/>
    </row>
    <row r="351" spans="1:16" x14ac:dyDescent="0.2">
      <c r="A351" s="23">
        <v>46108</v>
      </c>
      <c r="B351" s="18" t="s">
        <v>54</v>
      </c>
      <c r="C351" s="18" t="s">
        <v>15</v>
      </c>
      <c r="D351" s="18">
        <v>3880</v>
      </c>
      <c r="E351" s="18" t="s">
        <v>848</v>
      </c>
      <c r="F351" s="18">
        <v>116.5</v>
      </c>
      <c r="G351" s="18">
        <v>125</v>
      </c>
      <c r="H351" s="18">
        <v>8</v>
      </c>
      <c r="I351" s="18"/>
      <c r="J351" s="8">
        <f t="shared" si="14"/>
        <v>1000</v>
      </c>
      <c r="K351" s="27">
        <f t="shared" si="11"/>
        <v>0.10300429184549356</v>
      </c>
      <c r="L351" s="18">
        <v>12</v>
      </c>
      <c r="M351" s="18"/>
      <c r="N351" s="18"/>
      <c r="O351" s="18"/>
      <c r="P351" s="18"/>
    </row>
    <row r="352" spans="1:16" x14ac:dyDescent="0.2">
      <c r="A352" s="23">
        <v>46108</v>
      </c>
      <c r="B352" s="18" t="s">
        <v>54</v>
      </c>
      <c r="C352" s="18" t="s">
        <v>20</v>
      </c>
      <c r="D352" s="18">
        <v>4015</v>
      </c>
      <c r="E352" s="18" t="s">
        <v>846</v>
      </c>
      <c r="F352" s="18">
        <v>60</v>
      </c>
      <c r="G352" s="18">
        <v>600</v>
      </c>
      <c r="H352" s="18">
        <v>5</v>
      </c>
      <c r="I352" s="18">
        <v>250</v>
      </c>
      <c r="J352" s="8">
        <f t="shared" si="14"/>
        <v>3250</v>
      </c>
      <c r="K352" s="27">
        <f t="shared" si="11"/>
        <v>0.01</v>
      </c>
      <c r="L352" s="18">
        <v>0.6</v>
      </c>
      <c r="M352" s="18"/>
      <c r="N352" s="18"/>
      <c r="O352" s="18"/>
      <c r="P352" s="18"/>
    </row>
    <row r="353" spans="1:16" x14ac:dyDescent="0.2">
      <c r="A353" s="23">
        <v>46108</v>
      </c>
      <c r="B353" s="18" t="s">
        <v>54</v>
      </c>
      <c r="C353" s="18" t="s">
        <v>27</v>
      </c>
      <c r="D353" s="18">
        <v>3664</v>
      </c>
      <c r="E353" s="18" t="s">
        <v>757</v>
      </c>
      <c r="F353" s="18">
        <v>475.6</v>
      </c>
      <c r="G353" s="18">
        <v>1000</v>
      </c>
      <c r="H353" s="18">
        <v>62</v>
      </c>
      <c r="I353" s="18"/>
      <c r="J353" s="8">
        <f t="shared" si="14"/>
        <v>62000</v>
      </c>
      <c r="K353" s="27">
        <f t="shared" si="11"/>
        <v>4.2682926829268289E-2</v>
      </c>
      <c r="L353" s="18">
        <v>20.3</v>
      </c>
      <c r="M353" s="18"/>
      <c r="N353" s="18"/>
      <c r="O353" s="18"/>
      <c r="P353" s="18"/>
    </row>
    <row r="354" spans="1:16" x14ac:dyDescent="0.2">
      <c r="A354" s="23">
        <v>46108</v>
      </c>
      <c r="B354" s="18" t="s">
        <v>54</v>
      </c>
      <c r="C354" s="18" t="s">
        <v>24</v>
      </c>
      <c r="D354" s="18">
        <v>4036</v>
      </c>
      <c r="E354" s="18" t="s">
        <v>849</v>
      </c>
      <c r="F354" s="18">
        <v>95.4</v>
      </c>
      <c r="G354" s="18">
        <v>500</v>
      </c>
      <c r="H354" s="18">
        <v>12</v>
      </c>
      <c r="I354" s="18">
        <v>200</v>
      </c>
      <c r="J354" s="8">
        <f t="shared" si="14"/>
        <v>6200</v>
      </c>
      <c r="K354" s="27">
        <f t="shared" si="11"/>
        <v>2.3060796645702306E-2</v>
      </c>
      <c r="L354" s="18">
        <v>2.2000000000000002</v>
      </c>
      <c r="M354" s="18"/>
      <c r="N354" s="18"/>
      <c r="O354" s="18"/>
      <c r="P354" s="18"/>
    </row>
    <row r="355" spans="1:16" x14ac:dyDescent="0.2">
      <c r="A355" s="23">
        <v>46108</v>
      </c>
      <c r="B355" s="18" t="s">
        <v>54</v>
      </c>
      <c r="C355" s="18" t="s">
        <v>24</v>
      </c>
      <c r="D355" s="18">
        <v>4037</v>
      </c>
      <c r="E355" s="18" t="s">
        <v>850</v>
      </c>
      <c r="F355" s="18">
        <v>105.4</v>
      </c>
      <c r="G355" s="18">
        <v>500</v>
      </c>
      <c r="H355" s="18">
        <v>8</v>
      </c>
      <c r="I355" s="18">
        <v>100</v>
      </c>
      <c r="J355" s="8">
        <f t="shared" si="14"/>
        <v>4100</v>
      </c>
      <c r="K355" s="27">
        <f t="shared" si="11"/>
        <v>4.838709677419354E-2</v>
      </c>
      <c r="L355" s="18">
        <v>5.0999999999999996</v>
      </c>
      <c r="M355" s="18"/>
      <c r="N355" s="18"/>
      <c r="O355" s="18"/>
      <c r="P355" s="18"/>
    </row>
    <row r="356" spans="1:16" x14ac:dyDescent="0.2">
      <c r="A356" s="23">
        <v>46108</v>
      </c>
      <c r="B356" s="18" t="s">
        <v>54</v>
      </c>
      <c r="C356" s="18" t="s">
        <v>20</v>
      </c>
      <c r="D356" s="18">
        <v>4079</v>
      </c>
      <c r="E356" s="18" t="s">
        <v>159</v>
      </c>
      <c r="F356" s="18">
        <v>444.3</v>
      </c>
      <c r="G356" s="18">
        <v>800</v>
      </c>
      <c r="H356" s="18">
        <v>31</v>
      </c>
      <c r="I356" s="18">
        <v>200</v>
      </c>
      <c r="J356" s="8">
        <f t="shared" si="14"/>
        <v>25000</v>
      </c>
      <c r="K356" s="27">
        <f t="shared" si="11"/>
        <v>6.3020481656538372E-3</v>
      </c>
      <c r="L356" s="18">
        <v>2.8</v>
      </c>
      <c r="M356" s="18"/>
      <c r="N356" s="18"/>
      <c r="O356" s="18"/>
      <c r="P356" s="18"/>
    </row>
    <row r="357" spans="1:16" x14ac:dyDescent="0.2">
      <c r="A357" s="23">
        <v>46108</v>
      </c>
      <c r="B357" s="18" t="s">
        <v>54</v>
      </c>
      <c r="C357" s="18" t="s">
        <v>20</v>
      </c>
      <c r="D357" s="18">
        <v>4042</v>
      </c>
      <c r="E357" s="18" t="s">
        <v>851</v>
      </c>
      <c r="F357" s="18">
        <v>132.80000000000001</v>
      </c>
      <c r="G357" s="18">
        <v>1000</v>
      </c>
      <c r="H357" s="18">
        <v>12</v>
      </c>
      <c r="I357" s="18">
        <v>550</v>
      </c>
      <c r="J357" s="8">
        <f t="shared" si="14"/>
        <v>12550</v>
      </c>
      <c r="K357" s="27">
        <f t="shared" ref="K357:K363" si="15">IFERROR(L357/(F357-O357)*100%,0)</f>
        <v>4.1415662650602404E-2</v>
      </c>
      <c r="L357" s="18">
        <v>5.5</v>
      </c>
      <c r="M357" s="18"/>
      <c r="N357" s="18">
        <v>1.1000000000000001</v>
      </c>
      <c r="O357" s="18"/>
      <c r="P357" s="18"/>
    </row>
    <row r="358" spans="1:16" x14ac:dyDescent="0.2">
      <c r="A358" s="23">
        <v>46108</v>
      </c>
      <c r="B358" s="18" t="s">
        <v>54</v>
      </c>
      <c r="C358" s="18" t="s">
        <v>15</v>
      </c>
      <c r="D358" s="18">
        <v>4060</v>
      </c>
      <c r="E358" s="18" t="s">
        <v>852</v>
      </c>
      <c r="F358" s="18">
        <v>270.7</v>
      </c>
      <c r="G358" s="18">
        <v>1000</v>
      </c>
      <c r="H358" s="18">
        <v>34</v>
      </c>
      <c r="I358" s="18">
        <v>900</v>
      </c>
      <c r="J358" s="8">
        <f t="shared" si="14"/>
        <v>34900</v>
      </c>
      <c r="K358" s="27">
        <f t="shared" si="15"/>
        <v>2.1056520132988549E-2</v>
      </c>
      <c r="L358" s="18">
        <v>5.7</v>
      </c>
      <c r="M358" s="18">
        <v>2.4</v>
      </c>
      <c r="N358" s="18"/>
      <c r="O358" s="18"/>
      <c r="P358" s="18"/>
    </row>
    <row r="359" spans="1:16" x14ac:dyDescent="0.2">
      <c r="A359" s="23">
        <v>46108</v>
      </c>
      <c r="B359" s="18" t="s">
        <v>54</v>
      </c>
      <c r="C359" s="18" t="s">
        <v>20</v>
      </c>
      <c r="D359" s="18">
        <v>3949</v>
      </c>
      <c r="E359" s="18" t="s">
        <v>853</v>
      </c>
      <c r="F359" s="18">
        <v>86.7</v>
      </c>
      <c r="G359" s="18">
        <v>4000</v>
      </c>
      <c r="H359" s="18">
        <v>11</v>
      </c>
      <c r="I359" s="18"/>
      <c r="J359" s="8">
        <f t="shared" si="14"/>
        <v>44000</v>
      </c>
      <c r="K359" s="27">
        <f t="shared" si="15"/>
        <v>4.61361014994233E-3</v>
      </c>
      <c r="L359" s="18">
        <v>0.4</v>
      </c>
      <c r="M359" s="18"/>
      <c r="N359" s="18"/>
      <c r="O359" s="18"/>
      <c r="P359" s="18"/>
    </row>
    <row r="360" spans="1:16" x14ac:dyDescent="0.2">
      <c r="A360" s="23">
        <v>46108</v>
      </c>
      <c r="B360" s="18" t="s">
        <v>54</v>
      </c>
      <c r="C360" s="18" t="s">
        <v>37</v>
      </c>
      <c r="D360" s="18">
        <v>3712</v>
      </c>
      <c r="E360" s="18" t="s">
        <v>618</v>
      </c>
      <c r="F360" s="18"/>
      <c r="G360" s="18">
        <v>200</v>
      </c>
      <c r="H360" s="18">
        <v>2</v>
      </c>
      <c r="I360" s="18"/>
      <c r="J360" s="8">
        <f t="shared" si="14"/>
        <v>400</v>
      </c>
      <c r="K360" s="27">
        <f t="shared" si="15"/>
        <v>0</v>
      </c>
      <c r="L360" s="18"/>
      <c r="M360" s="18"/>
      <c r="N360" s="18"/>
      <c r="O360" s="18"/>
      <c r="P360" s="18"/>
    </row>
    <row r="361" spans="1:16" x14ac:dyDescent="0.2">
      <c r="A361" s="23">
        <v>46108</v>
      </c>
      <c r="B361" s="18" t="s">
        <v>54</v>
      </c>
      <c r="C361" s="18" t="s">
        <v>37</v>
      </c>
      <c r="D361" s="18">
        <v>4154</v>
      </c>
      <c r="E361" s="18" t="s">
        <v>838</v>
      </c>
      <c r="F361" s="18"/>
      <c r="G361" s="18">
        <v>100</v>
      </c>
      <c r="H361" s="18">
        <v>1</v>
      </c>
      <c r="I361" s="18"/>
      <c r="J361" s="8">
        <f t="shared" si="14"/>
        <v>100</v>
      </c>
      <c r="K361" s="27">
        <f t="shared" si="15"/>
        <v>0</v>
      </c>
      <c r="L361" s="18"/>
      <c r="M361" s="18"/>
      <c r="N361" s="18"/>
      <c r="O361" s="18"/>
      <c r="P361" s="18"/>
    </row>
    <row r="362" spans="1:16" x14ac:dyDescent="0.2">
      <c r="A362" s="23">
        <v>46108</v>
      </c>
      <c r="B362" s="18" t="s">
        <v>54</v>
      </c>
      <c r="C362" s="18" t="s">
        <v>15</v>
      </c>
      <c r="D362" s="18">
        <v>4154</v>
      </c>
      <c r="E362" s="18" t="s">
        <v>838</v>
      </c>
      <c r="F362" s="18">
        <v>30.8</v>
      </c>
      <c r="G362" s="18">
        <v>25</v>
      </c>
      <c r="H362" s="18">
        <v>8</v>
      </c>
      <c r="I362" s="18"/>
      <c r="J362" s="8">
        <f t="shared" si="14"/>
        <v>200</v>
      </c>
      <c r="K362" s="27">
        <f t="shared" si="15"/>
        <v>2.922077922077922E-2</v>
      </c>
      <c r="L362" s="18">
        <v>0.9</v>
      </c>
      <c r="M362" s="18"/>
      <c r="N362" s="18"/>
      <c r="O362" s="18"/>
      <c r="P362" s="18"/>
    </row>
    <row r="363" spans="1:16" x14ac:dyDescent="0.2">
      <c r="A363" s="23">
        <v>46108</v>
      </c>
      <c r="B363" s="18" t="s">
        <v>54</v>
      </c>
      <c r="C363" s="18" t="s">
        <v>24</v>
      </c>
      <c r="D363" s="18">
        <v>3959</v>
      </c>
      <c r="E363" s="18" t="s">
        <v>688</v>
      </c>
      <c r="F363" s="18">
        <v>212.8</v>
      </c>
      <c r="G363" s="18">
        <v>1000</v>
      </c>
      <c r="H363" s="18">
        <v>22</v>
      </c>
      <c r="I363" s="18"/>
      <c r="J363" s="8">
        <f t="shared" si="14"/>
        <v>22000</v>
      </c>
      <c r="K363" s="27">
        <f t="shared" si="15"/>
        <v>1.2687969924812029E-2</v>
      </c>
      <c r="L363" s="18">
        <v>2.7</v>
      </c>
      <c r="M363" s="18"/>
      <c r="N363" s="18"/>
      <c r="O363" s="18"/>
      <c r="P363" s="18"/>
    </row>
    <row r="364" spans="1:16" x14ac:dyDescent="0.2">
      <c r="A364" s="23">
        <v>46109</v>
      </c>
      <c r="B364" s="18" t="s">
        <v>423</v>
      </c>
      <c r="C364" s="18" t="s">
        <v>15</v>
      </c>
      <c r="D364" s="18">
        <v>3583</v>
      </c>
      <c r="E364" s="18" t="s">
        <v>65</v>
      </c>
      <c r="F364" s="18">
        <v>55</v>
      </c>
      <c r="G364" s="18">
        <v>2000</v>
      </c>
      <c r="H364" s="18">
        <v>5</v>
      </c>
      <c r="I364" s="18">
        <v>1500</v>
      </c>
      <c r="J364" s="8">
        <f t="shared" ref="J364:J391" si="16">G364*H364+I364</f>
        <v>11500</v>
      </c>
      <c r="K364" s="27">
        <f t="shared" ref="K364:K391" si="17">IFERROR(L364/(F364-O364)*100%,0)</f>
        <v>3.4545454545454546E-2</v>
      </c>
      <c r="L364" s="18">
        <v>1.9</v>
      </c>
      <c r="M364" s="18">
        <v>7.1</v>
      </c>
      <c r="N364" s="18"/>
      <c r="O364" s="18"/>
      <c r="P364" s="18"/>
    </row>
    <row r="365" spans="1:16" x14ac:dyDescent="0.2">
      <c r="A365" s="23">
        <v>46109</v>
      </c>
      <c r="B365" s="18" t="s">
        <v>423</v>
      </c>
      <c r="C365" s="18" t="s">
        <v>15</v>
      </c>
      <c r="D365" s="18">
        <v>3955</v>
      </c>
      <c r="E365" s="18" t="s">
        <v>854</v>
      </c>
      <c r="F365" s="18">
        <v>322</v>
      </c>
      <c r="G365" s="18">
        <v>500</v>
      </c>
      <c r="H365" s="18">
        <v>38</v>
      </c>
      <c r="I365" s="18">
        <v>90</v>
      </c>
      <c r="J365" s="8">
        <f t="shared" si="16"/>
        <v>19090</v>
      </c>
      <c r="K365" s="27">
        <f t="shared" si="17"/>
        <v>1.5023474178403756E-2</v>
      </c>
      <c r="L365" s="18">
        <v>4.8</v>
      </c>
      <c r="M365" s="18">
        <v>5.3</v>
      </c>
      <c r="N365" s="18"/>
      <c r="O365" s="18">
        <v>2.5</v>
      </c>
      <c r="P365" s="18"/>
    </row>
    <row r="366" spans="1:16" x14ac:dyDescent="0.2">
      <c r="A366" s="23">
        <v>46109</v>
      </c>
      <c r="B366" s="18" t="s">
        <v>423</v>
      </c>
      <c r="C366" s="18" t="s">
        <v>15</v>
      </c>
      <c r="D366" s="18">
        <v>4045</v>
      </c>
      <c r="E366" s="18" t="s">
        <v>855</v>
      </c>
      <c r="F366" s="18">
        <v>214</v>
      </c>
      <c r="G366" s="18">
        <v>300</v>
      </c>
      <c r="H366" s="18">
        <v>14</v>
      </c>
      <c r="I366" s="18"/>
      <c r="J366" s="8">
        <f t="shared" si="16"/>
        <v>4200</v>
      </c>
      <c r="K366" s="27">
        <f t="shared" si="17"/>
        <v>1.9736842105263157E-2</v>
      </c>
      <c r="L366" s="18">
        <v>4.2</v>
      </c>
      <c r="M366" s="18"/>
      <c r="N366" s="18"/>
      <c r="O366" s="18">
        <v>1.2</v>
      </c>
      <c r="P366" s="18"/>
    </row>
    <row r="367" spans="1:16" x14ac:dyDescent="0.2">
      <c r="A367" s="23">
        <v>46109</v>
      </c>
      <c r="B367" s="18" t="s">
        <v>423</v>
      </c>
      <c r="C367" s="18" t="s">
        <v>20</v>
      </c>
      <c r="D367" s="18">
        <v>3949</v>
      </c>
      <c r="E367" s="18" t="s">
        <v>853</v>
      </c>
      <c r="F367" s="18">
        <v>39.4</v>
      </c>
      <c r="G367" s="18">
        <v>4000</v>
      </c>
      <c r="H367" s="18">
        <v>5</v>
      </c>
      <c r="I367" s="18">
        <v>1600</v>
      </c>
      <c r="J367" s="8">
        <f t="shared" si="16"/>
        <v>21600</v>
      </c>
      <c r="K367" s="27">
        <f t="shared" si="17"/>
        <v>0</v>
      </c>
      <c r="L367" s="18"/>
      <c r="M367" s="18"/>
      <c r="N367" s="18"/>
      <c r="O367" s="18"/>
      <c r="P367" s="18"/>
    </row>
    <row r="368" spans="1:16" x14ac:dyDescent="0.2">
      <c r="A368" s="23">
        <v>46109</v>
      </c>
      <c r="B368" s="18" t="s">
        <v>423</v>
      </c>
      <c r="C368" s="18" t="s">
        <v>20</v>
      </c>
      <c r="D368" s="18">
        <v>4077</v>
      </c>
      <c r="E368" s="18" t="s">
        <v>856</v>
      </c>
      <c r="F368" s="18">
        <v>151.9</v>
      </c>
      <c r="G368" s="18">
        <v>1000</v>
      </c>
      <c r="H368" s="18">
        <v>13</v>
      </c>
      <c r="I368" s="18">
        <v>600</v>
      </c>
      <c r="J368" s="8">
        <f t="shared" si="16"/>
        <v>13600</v>
      </c>
      <c r="K368" s="27">
        <f t="shared" si="17"/>
        <v>5.2666227781435152E-3</v>
      </c>
      <c r="L368" s="18">
        <v>0.8</v>
      </c>
      <c r="M368" s="18"/>
      <c r="N368" s="18"/>
      <c r="O368" s="18"/>
      <c r="P368" s="18"/>
    </row>
    <row r="369" spans="1:16" x14ac:dyDescent="0.2">
      <c r="A369" s="23">
        <v>46109</v>
      </c>
      <c r="B369" s="18" t="s">
        <v>423</v>
      </c>
      <c r="C369" s="18" t="s">
        <v>20</v>
      </c>
      <c r="D369" s="18">
        <v>4026</v>
      </c>
      <c r="E369" s="18" t="s">
        <v>246</v>
      </c>
      <c r="F369" s="18">
        <v>339.2</v>
      </c>
      <c r="G369" s="18">
        <v>1000</v>
      </c>
      <c r="H369" s="18">
        <v>30</v>
      </c>
      <c r="I369" s="18"/>
      <c r="J369" s="8">
        <f t="shared" si="16"/>
        <v>30000</v>
      </c>
      <c r="K369" s="27">
        <f t="shared" si="17"/>
        <v>1.0023584905660377E-2</v>
      </c>
      <c r="L369" s="18">
        <v>3.4</v>
      </c>
      <c r="M369" s="18"/>
      <c r="N369" s="18"/>
      <c r="O369" s="18"/>
      <c r="P369" s="18"/>
    </row>
    <row r="370" spans="1:16" x14ac:dyDescent="0.2">
      <c r="A370" s="23">
        <v>46109</v>
      </c>
      <c r="B370" s="18" t="s">
        <v>423</v>
      </c>
      <c r="C370" s="18" t="s">
        <v>24</v>
      </c>
      <c r="D370" s="18">
        <v>3959</v>
      </c>
      <c r="E370" s="18" t="s">
        <v>688</v>
      </c>
      <c r="F370" s="18">
        <v>211.7</v>
      </c>
      <c r="G370" s="18">
        <v>1000</v>
      </c>
      <c r="H370" s="18">
        <v>24</v>
      </c>
      <c r="I370" s="18">
        <v>700</v>
      </c>
      <c r="J370" s="8">
        <f t="shared" si="16"/>
        <v>24700</v>
      </c>
      <c r="K370" s="27">
        <f t="shared" si="17"/>
        <v>2.5980160604629193E-2</v>
      </c>
      <c r="L370" s="18">
        <v>5.5</v>
      </c>
      <c r="M370" s="18">
        <v>7.7</v>
      </c>
      <c r="N370" s="18"/>
      <c r="O370" s="18"/>
      <c r="P370" s="18"/>
    </row>
    <row r="371" spans="1:16" x14ac:dyDescent="0.2">
      <c r="A371" s="23">
        <v>46109</v>
      </c>
      <c r="B371" s="18" t="s">
        <v>423</v>
      </c>
      <c r="C371" s="18" t="s">
        <v>24</v>
      </c>
      <c r="D371" s="18">
        <v>3961</v>
      </c>
      <c r="E371" s="18" t="s">
        <v>570</v>
      </c>
      <c r="F371" s="18">
        <v>143.4</v>
      </c>
      <c r="G371" s="18">
        <v>800</v>
      </c>
      <c r="H371" s="18">
        <v>14</v>
      </c>
      <c r="I371" s="18"/>
      <c r="J371" s="8">
        <f t="shared" si="16"/>
        <v>11200</v>
      </c>
      <c r="K371" s="27">
        <f t="shared" si="17"/>
        <v>5.5788005578800556E-3</v>
      </c>
      <c r="L371" s="18">
        <v>0.8</v>
      </c>
      <c r="M371" s="18"/>
      <c r="N371" s="18"/>
      <c r="O371" s="18"/>
      <c r="P371" s="18"/>
    </row>
    <row r="372" spans="1:16" x14ac:dyDescent="0.2">
      <c r="A372" s="23">
        <v>46109</v>
      </c>
      <c r="B372" s="18" t="s">
        <v>423</v>
      </c>
      <c r="C372" s="18" t="s">
        <v>27</v>
      </c>
      <c r="D372" s="18">
        <v>3664</v>
      </c>
      <c r="E372" s="18" t="s">
        <v>757</v>
      </c>
      <c r="F372" s="18">
        <v>101.5</v>
      </c>
      <c r="G372" s="18">
        <v>1000</v>
      </c>
      <c r="H372" s="18">
        <v>21</v>
      </c>
      <c r="I372" s="18">
        <v>800</v>
      </c>
      <c r="J372" s="8">
        <f t="shared" si="16"/>
        <v>21800</v>
      </c>
      <c r="K372" s="27">
        <f t="shared" si="17"/>
        <v>8.9655172413793102E-2</v>
      </c>
      <c r="L372" s="18">
        <v>9.1</v>
      </c>
      <c r="M372" s="18"/>
      <c r="N372" s="18"/>
      <c r="O372" s="18"/>
      <c r="P372" s="18"/>
    </row>
    <row r="373" spans="1:16" x14ac:dyDescent="0.2">
      <c r="A373" s="23">
        <v>46109</v>
      </c>
      <c r="B373" s="18" t="s">
        <v>423</v>
      </c>
      <c r="C373" s="18" t="s">
        <v>27</v>
      </c>
      <c r="D373" s="18">
        <v>4157</v>
      </c>
      <c r="E373" s="18" t="s">
        <v>502</v>
      </c>
      <c r="F373" s="18">
        <v>84.9</v>
      </c>
      <c r="G373" s="18">
        <v>1600</v>
      </c>
      <c r="H373" s="18">
        <v>9</v>
      </c>
      <c r="I373" s="18"/>
      <c r="J373" s="8">
        <f t="shared" si="16"/>
        <v>14400</v>
      </c>
      <c r="K373" s="27">
        <f t="shared" si="17"/>
        <v>7.7738515901060068E-2</v>
      </c>
      <c r="L373" s="18">
        <v>6.6</v>
      </c>
      <c r="M373" s="18"/>
      <c r="N373" s="18"/>
      <c r="O373" s="18"/>
      <c r="P373" s="18"/>
    </row>
    <row r="374" spans="1:16" x14ac:dyDescent="0.2">
      <c r="A374" s="23">
        <v>46109</v>
      </c>
      <c r="B374" s="18" t="s">
        <v>423</v>
      </c>
      <c r="C374" s="18" t="s">
        <v>37</v>
      </c>
      <c r="D374" s="18">
        <v>4154</v>
      </c>
      <c r="E374" s="18" t="s">
        <v>838</v>
      </c>
      <c r="F374" s="18"/>
      <c r="G374" s="18">
        <v>100</v>
      </c>
      <c r="H374" s="18">
        <v>2</v>
      </c>
      <c r="I374" s="18"/>
      <c r="J374" s="8">
        <f t="shared" si="16"/>
        <v>200</v>
      </c>
      <c r="K374" s="27">
        <f t="shared" si="17"/>
        <v>0</v>
      </c>
      <c r="L374" s="18"/>
      <c r="M374" s="18"/>
      <c r="N374" s="18"/>
      <c r="O374" s="18">
        <v>13.5</v>
      </c>
      <c r="P374" s="18"/>
    </row>
    <row r="375" spans="1:16" x14ac:dyDescent="0.2">
      <c r="A375" s="23">
        <v>46110</v>
      </c>
      <c r="B375" s="18" t="s">
        <v>40</v>
      </c>
      <c r="C375" s="18" t="s">
        <v>24</v>
      </c>
      <c r="D375" s="18">
        <v>3961</v>
      </c>
      <c r="E375" s="18" t="s">
        <v>570</v>
      </c>
      <c r="F375" s="18">
        <v>323.5</v>
      </c>
      <c r="G375" s="18">
        <v>800</v>
      </c>
      <c r="H375" s="18">
        <v>32</v>
      </c>
      <c r="I375" s="18"/>
      <c r="J375" s="8">
        <f t="shared" si="16"/>
        <v>25600</v>
      </c>
      <c r="K375" s="27">
        <f t="shared" si="17"/>
        <v>1.2364760432766616E-3</v>
      </c>
      <c r="L375" s="18">
        <v>0.4</v>
      </c>
      <c r="M375" s="18"/>
      <c r="N375" s="18"/>
      <c r="O375" s="18"/>
      <c r="P375" s="18"/>
    </row>
    <row r="376" spans="1:16" x14ac:dyDescent="0.2">
      <c r="A376" s="23">
        <v>46110</v>
      </c>
      <c r="B376" s="18" t="s">
        <v>40</v>
      </c>
      <c r="C376" s="18" t="s">
        <v>27</v>
      </c>
      <c r="D376" s="18">
        <v>4157</v>
      </c>
      <c r="E376" s="18" t="s">
        <v>502</v>
      </c>
      <c r="F376" s="18">
        <v>40</v>
      </c>
      <c r="G376" s="18">
        <v>1600</v>
      </c>
      <c r="H376" s="18">
        <v>6</v>
      </c>
      <c r="I376" s="18"/>
      <c r="J376" s="8">
        <f t="shared" si="16"/>
        <v>9600</v>
      </c>
      <c r="K376" s="27">
        <f t="shared" si="17"/>
        <v>0.06</v>
      </c>
      <c r="L376" s="18">
        <v>2.4</v>
      </c>
      <c r="M376" s="18"/>
      <c r="N376" s="18"/>
      <c r="O376" s="18"/>
      <c r="P376" s="18" t="s">
        <v>857</v>
      </c>
    </row>
    <row r="377" spans="1:16" x14ac:dyDescent="0.2">
      <c r="A377" s="23">
        <v>46110</v>
      </c>
      <c r="B377" s="18" t="s">
        <v>40</v>
      </c>
      <c r="C377" s="18" t="s">
        <v>27</v>
      </c>
      <c r="D377" s="18">
        <v>4158</v>
      </c>
      <c r="E377" s="18" t="s">
        <v>503</v>
      </c>
      <c r="F377" s="18">
        <v>34</v>
      </c>
      <c r="G377" s="18">
        <v>1400</v>
      </c>
      <c r="H377" s="18">
        <v>4</v>
      </c>
      <c r="I377" s="18">
        <v>700</v>
      </c>
      <c r="J377" s="8">
        <f t="shared" si="16"/>
        <v>6300</v>
      </c>
      <c r="K377" s="27">
        <f t="shared" si="17"/>
        <v>8.8235294117647058E-3</v>
      </c>
      <c r="L377" s="18">
        <v>0.3</v>
      </c>
      <c r="M377" s="18"/>
      <c r="N377" s="18"/>
      <c r="O377" s="18"/>
      <c r="P377" s="18" t="s">
        <v>857</v>
      </c>
    </row>
    <row r="378" spans="1:16" x14ac:dyDescent="0.2">
      <c r="A378" s="23">
        <v>46110</v>
      </c>
      <c r="B378" s="18" t="s">
        <v>40</v>
      </c>
      <c r="C378" s="18" t="s">
        <v>20</v>
      </c>
      <c r="D378" s="18">
        <v>4026</v>
      </c>
      <c r="E378" s="18" t="s">
        <v>246</v>
      </c>
      <c r="F378" s="18">
        <v>295.8</v>
      </c>
      <c r="G378" s="18">
        <v>1000</v>
      </c>
      <c r="H378" s="18">
        <v>34</v>
      </c>
      <c r="I378" s="18">
        <v>200</v>
      </c>
      <c r="J378" s="8">
        <f t="shared" si="16"/>
        <v>34200</v>
      </c>
      <c r="K378" s="27">
        <f t="shared" si="17"/>
        <v>1.7917511832319134E-2</v>
      </c>
      <c r="L378" s="18">
        <v>5.3</v>
      </c>
      <c r="M378" s="18"/>
      <c r="N378" s="18"/>
      <c r="O378" s="18"/>
      <c r="P378" s="18"/>
    </row>
    <row r="379" spans="1:16" x14ac:dyDescent="0.2">
      <c r="A379" s="23">
        <v>46110</v>
      </c>
      <c r="B379" s="18" t="s">
        <v>40</v>
      </c>
      <c r="C379" s="18" t="s">
        <v>20</v>
      </c>
      <c r="D379" s="18">
        <v>4025</v>
      </c>
      <c r="E379" s="18" t="s">
        <v>858</v>
      </c>
      <c r="F379" s="18">
        <v>109.2</v>
      </c>
      <c r="G379" s="18">
        <v>300</v>
      </c>
      <c r="H379" s="18">
        <v>12</v>
      </c>
      <c r="I379" s="18"/>
      <c r="J379" s="8">
        <f t="shared" si="16"/>
        <v>3600</v>
      </c>
      <c r="K379" s="27">
        <f t="shared" si="17"/>
        <v>1.5567765567765566E-2</v>
      </c>
      <c r="L379" s="18">
        <v>1.7</v>
      </c>
      <c r="M379" s="18"/>
      <c r="N379" s="18"/>
      <c r="O379" s="18"/>
      <c r="P379" s="18"/>
    </row>
    <row r="380" spans="1:16" x14ac:dyDescent="0.2">
      <c r="A380" s="23">
        <v>46110</v>
      </c>
      <c r="B380" s="18" t="s">
        <v>40</v>
      </c>
      <c r="C380" s="18" t="s">
        <v>33</v>
      </c>
      <c r="D380" s="18">
        <v>4008</v>
      </c>
      <c r="E380" s="18" t="s">
        <v>859</v>
      </c>
      <c r="F380" s="18">
        <v>162</v>
      </c>
      <c r="G380" s="18">
        <v>500</v>
      </c>
      <c r="H380" s="18">
        <v>22</v>
      </c>
      <c r="I380" s="18">
        <v>292</v>
      </c>
      <c r="J380" s="8">
        <f t="shared" si="16"/>
        <v>11292</v>
      </c>
      <c r="K380" s="27">
        <f t="shared" si="17"/>
        <v>2.8109627547434995E-2</v>
      </c>
      <c r="L380" s="18">
        <v>4</v>
      </c>
      <c r="M380" s="18">
        <v>0.5</v>
      </c>
      <c r="N380" s="18"/>
      <c r="O380" s="18">
        <v>19.7</v>
      </c>
      <c r="P380" s="18"/>
    </row>
    <row r="381" spans="1:16" x14ac:dyDescent="0.2">
      <c r="A381" s="23">
        <v>46110</v>
      </c>
      <c r="B381" s="18" t="s">
        <v>40</v>
      </c>
      <c r="C381" s="18" t="s">
        <v>33</v>
      </c>
      <c r="D381" s="18">
        <v>4097</v>
      </c>
      <c r="E381" s="18" t="s">
        <v>860</v>
      </c>
      <c r="F381" s="18">
        <v>1218.4000000000001</v>
      </c>
      <c r="G381" s="18">
        <v>500</v>
      </c>
      <c r="H381" s="18">
        <v>78</v>
      </c>
      <c r="I381" s="18"/>
      <c r="J381" s="8">
        <f t="shared" si="16"/>
        <v>39000</v>
      </c>
      <c r="K381" s="27">
        <f t="shared" si="17"/>
        <v>3.8178601359530676E-3</v>
      </c>
      <c r="L381" s="18">
        <v>4.0999999999999996</v>
      </c>
      <c r="M381" s="18">
        <v>32</v>
      </c>
      <c r="N381" s="18"/>
      <c r="O381" s="18">
        <v>144.5</v>
      </c>
      <c r="P381" s="18"/>
    </row>
    <row r="382" spans="1:16" x14ac:dyDescent="0.2">
      <c r="A382" s="23">
        <v>46110</v>
      </c>
      <c r="B382" s="18" t="s">
        <v>40</v>
      </c>
      <c r="C382" s="18" t="s">
        <v>15</v>
      </c>
      <c r="D382" s="18">
        <v>4045</v>
      </c>
      <c r="E382" s="18" t="s">
        <v>855</v>
      </c>
      <c r="F382" s="18">
        <v>112.5</v>
      </c>
      <c r="G382" s="18">
        <v>300</v>
      </c>
      <c r="H382" s="18">
        <v>6</v>
      </c>
      <c r="I382" s="18">
        <v>250</v>
      </c>
      <c r="J382" s="8">
        <f t="shared" si="16"/>
        <v>2050</v>
      </c>
      <c r="K382" s="27">
        <f t="shared" si="17"/>
        <v>0</v>
      </c>
      <c r="L382" s="18"/>
      <c r="M382" s="18"/>
      <c r="N382" s="18"/>
      <c r="O382" s="18">
        <v>0.6</v>
      </c>
      <c r="P382" s="18" t="s">
        <v>201</v>
      </c>
    </row>
    <row r="383" spans="1:16" x14ac:dyDescent="0.2">
      <c r="A383" s="23">
        <v>46110</v>
      </c>
      <c r="B383" s="18" t="s">
        <v>40</v>
      </c>
      <c r="C383" s="18" t="s">
        <v>15</v>
      </c>
      <c r="D383" s="18">
        <v>3986</v>
      </c>
      <c r="E383" s="18" t="s">
        <v>861</v>
      </c>
      <c r="F383" s="18">
        <v>139.19999999999999</v>
      </c>
      <c r="G383" s="18">
        <v>500</v>
      </c>
      <c r="H383" s="18">
        <v>20</v>
      </c>
      <c r="I383" s="18">
        <v>400</v>
      </c>
      <c r="J383" s="8">
        <f t="shared" si="16"/>
        <v>10400</v>
      </c>
      <c r="K383" s="27">
        <f t="shared" si="17"/>
        <v>2.5454545454545455E-2</v>
      </c>
      <c r="L383" s="18">
        <v>3.5</v>
      </c>
      <c r="M383" s="18">
        <v>0.3</v>
      </c>
      <c r="N383" s="18"/>
      <c r="O383" s="18">
        <v>1.7</v>
      </c>
      <c r="P383" s="18" t="s">
        <v>201</v>
      </c>
    </row>
    <row r="384" spans="1:16" x14ac:dyDescent="0.2">
      <c r="A384" s="23">
        <v>46110</v>
      </c>
      <c r="B384" s="18" t="s">
        <v>40</v>
      </c>
      <c r="C384" s="18" t="s">
        <v>15</v>
      </c>
      <c r="D384" s="18">
        <v>3987</v>
      </c>
      <c r="E384" s="18" t="s">
        <v>862</v>
      </c>
      <c r="F384" s="18">
        <v>134.69999999999999</v>
      </c>
      <c r="G384" s="18">
        <v>500</v>
      </c>
      <c r="H384" s="18">
        <v>10</v>
      </c>
      <c r="I384" s="18">
        <v>250</v>
      </c>
      <c r="J384" s="8">
        <f t="shared" si="16"/>
        <v>5250</v>
      </c>
      <c r="K384" s="27">
        <f t="shared" si="17"/>
        <v>1.1949215832710981E-2</v>
      </c>
      <c r="L384" s="18">
        <v>1.6</v>
      </c>
      <c r="M384" s="18">
        <v>0.9</v>
      </c>
      <c r="N384" s="18"/>
      <c r="O384" s="18">
        <v>0.8</v>
      </c>
      <c r="P384" s="18" t="s">
        <v>201</v>
      </c>
    </row>
    <row r="385" spans="1:16" x14ac:dyDescent="0.2">
      <c r="A385" s="23">
        <v>46110</v>
      </c>
      <c r="B385" s="18" t="s">
        <v>40</v>
      </c>
      <c r="C385" s="18" t="s">
        <v>37</v>
      </c>
      <c r="D385" s="18">
        <v>4154</v>
      </c>
      <c r="E385" s="18" t="s">
        <v>838</v>
      </c>
      <c r="F385" s="18"/>
      <c r="G385" s="18">
        <v>100</v>
      </c>
      <c r="H385" s="18">
        <v>1</v>
      </c>
      <c r="I385" s="18"/>
      <c r="J385" s="8">
        <f t="shared" si="16"/>
        <v>100</v>
      </c>
      <c r="K385" s="27">
        <f t="shared" si="17"/>
        <v>0</v>
      </c>
      <c r="L385" s="18"/>
      <c r="M385" s="18"/>
      <c r="N385" s="18"/>
      <c r="O385" s="18">
        <v>3.6</v>
      </c>
      <c r="P385" s="18"/>
    </row>
    <row r="386" spans="1:16" x14ac:dyDescent="0.2">
      <c r="A386" s="23">
        <v>46110</v>
      </c>
      <c r="B386" s="18" t="s">
        <v>40</v>
      </c>
      <c r="C386" s="18" t="s">
        <v>27</v>
      </c>
      <c r="D386" s="18">
        <v>4260</v>
      </c>
      <c r="E386" s="18" t="s">
        <v>847</v>
      </c>
      <c r="F386" s="18">
        <v>251.3</v>
      </c>
      <c r="G386" s="18">
        <v>1000</v>
      </c>
      <c r="H386" s="18">
        <v>25</v>
      </c>
      <c r="I386" s="18"/>
      <c r="J386" s="8">
        <f t="shared" si="16"/>
        <v>25000</v>
      </c>
      <c r="K386" s="27">
        <f t="shared" si="17"/>
        <v>7.9586152009550326E-3</v>
      </c>
      <c r="L386" s="18">
        <v>2</v>
      </c>
      <c r="M386" s="18"/>
      <c r="N386" s="18"/>
      <c r="O386" s="18"/>
      <c r="P386" s="18"/>
    </row>
    <row r="387" spans="1:16" x14ac:dyDescent="0.2">
      <c r="A387" s="23">
        <v>46110</v>
      </c>
      <c r="B387" s="18" t="s">
        <v>40</v>
      </c>
      <c r="C387" s="18" t="s">
        <v>15</v>
      </c>
      <c r="D387" s="18">
        <v>4030</v>
      </c>
      <c r="E387" s="18" t="s">
        <v>244</v>
      </c>
      <c r="F387" s="18">
        <v>188.2</v>
      </c>
      <c r="G387" s="18">
        <v>750</v>
      </c>
      <c r="H387" s="18">
        <v>14</v>
      </c>
      <c r="I387" s="18">
        <v>100</v>
      </c>
      <c r="J387" s="8">
        <f t="shared" si="16"/>
        <v>10600</v>
      </c>
      <c r="K387" s="27">
        <f t="shared" si="17"/>
        <v>1.0626992561105207E-2</v>
      </c>
      <c r="L387" s="18">
        <v>2</v>
      </c>
      <c r="M387" s="18"/>
      <c r="N387" s="18"/>
      <c r="O387" s="18"/>
      <c r="P387" s="18"/>
    </row>
    <row r="388" spans="1:16" x14ac:dyDescent="0.2">
      <c r="A388" s="23">
        <v>46110</v>
      </c>
      <c r="B388" s="18" t="s">
        <v>40</v>
      </c>
      <c r="C388" s="18" t="s">
        <v>15</v>
      </c>
      <c r="D388" s="18">
        <v>4031</v>
      </c>
      <c r="E388" s="18" t="s">
        <v>863</v>
      </c>
      <c r="F388" s="18">
        <v>180.3</v>
      </c>
      <c r="G388" s="18">
        <v>500</v>
      </c>
      <c r="H388" s="18">
        <v>11</v>
      </c>
      <c r="I388" s="18">
        <v>150</v>
      </c>
      <c r="J388" s="8">
        <f t="shared" si="16"/>
        <v>5650</v>
      </c>
      <c r="K388" s="27">
        <f t="shared" si="17"/>
        <v>3.8824181919023845E-3</v>
      </c>
      <c r="L388" s="18">
        <v>0.7</v>
      </c>
      <c r="M388" s="18"/>
      <c r="N388" s="18"/>
      <c r="O388" s="18"/>
      <c r="P388" s="18"/>
    </row>
    <row r="389" spans="1:16" x14ac:dyDescent="0.2">
      <c r="A389" s="23">
        <v>46110</v>
      </c>
      <c r="B389" s="18" t="s">
        <v>40</v>
      </c>
      <c r="C389" s="18" t="s">
        <v>15</v>
      </c>
      <c r="D389" s="18">
        <v>4154</v>
      </c>
      <c r="E389" s="18" t="s">
        <v>838</v>
      </c>
      <c r="F389" s="18">
        <v>29.4</v>
      </c>
      <c r="G389" s="18">
        <v>234</v>
      </c>
      <c r="H389" s="18">
        <v>1</v>
      </c>
      <c r="I389" s="18"/>
      <c r="J389" s="8">
        <f t="shared" si="16"/>
        <v>234</v>
      </c>
      <c r="K389" s="27">
        <f t="shared" si="17"/>
        <v>1.7006802721088437E-2</v>
      </c>
      <c r="L389" s="18">
        <v>0.5</v>
      </c>
      <c r="M389" s="18"/>
      <c r="N389" s="18"/>
      <c r="O389" s="18"/>
      <c r="P389" s="18"/>
    </row>
    <row r="390" spans="1:16" x14ac:dyDescent="0.2">
      <c r="A390" s="23">
        <v>46110</v>
      </c>
      <c r="B390" s="18" t="s">
        <v>40</v>
      </c>
      <c r="C390" s="18" t="s">
        <v>15</v>
      </c>
      <c r="D390" s="18">
        <v>4034</v>
      </c>
      <c r="E390" s="18" t="s">
        <v>864</v>
      </c>
      <c r="F390" s="18">
        <v>34</v>
      </c>
      <c r="G390" s="18">
        <v>3000</v>
      </c>
      <c r="H390" s="18">
        <v>2</v>
      </c>
      <c r="I390" s="18"/>
      <c r="J390" s="8">
        <f t="shared" si="16"/>
        <v>6000</v>
      </c>
      <c r="K390" s="27">
        <f t="shared" si="17"/>
        <v>1.1764705882352941E-2</v>
      </c>
      <c r="L390" s="18">
        <v>0.4</v>
      </c>
      <c r="M390" s="18"/>
      <c r="N390" s="18"/>
      <c r="O390" s="18"/>
      <c r="P390" s="18"/>
    </row>
    <row r="391" spans="1:16" x14ac:dyDescent="0.2">
      <c r="A391" s="23">
        <v>46110</v>
      </c>
      <c r="B391" s="18" t="s">
        <v>40</v>
      </c>
      <c r="C391" s="18" t="s">
        <v>33</v>
      </c>
      <c r="D391" s="18">
        <v>4069</v>
      </c>
      <c r="E391" s="18" t="s">
        <v>865</v>
      </c>
      <c r="F391" s="18">
        <v>236.1</v>
      </c>
      <c r="G391" s="18">
        <v>300</v>
      </c>
      <c r="H391" s="18">
        <v>18</v>
      </c>
      <c r="I391" s="18">
        <v>95</v>
      </c>
      <c r="J391" s="8">
        <f t="shared" si="16"/>
        <v>5495</v>
      </c>
      <c r="K391" s="27">
        <f t="shared" si="17"/>
        <v>5.3315412186379932E-2</v>
      </c>
      <c r="L391" s="18">
        <v>11.9</v>
      </c>
      <c r="M391" s="18"/>
      <c r="N391" s="18"/>
      <c r="O391" s="18">
        <v>12.9</v>
      </c>
      <c r="P391" s="18"/>
    </row>
    <row r="392" spans="1:16" x14ac:dyDescent="0.2">
      <c r="A392" s="23">
        <v>46111</v>
      </c>
      <c r="B392" s="18" t="s">
        <v>54</v>
      </c>
      <c r="C392" s="18" t="s">
        <v>15</v>
      </c>
      <c r="D392" s="18">
        <v>4034</v>
      </c>
      <c r="E392" s="18" t="s">
        <v>864</v>
      </c>
      <c r="F392" s="18">
        <v>100</v>
      </c>
      <c r="G392" s="18">
        <v>3000</v>
      </c>
      <c r="H392" s="18">
        <v>8</v>
      </c>
      <c r="I392" s="18">
        <v>500</v>
      </c>
      <c r="J392" s="8">
        <f t="shared" ref="J392:J427" si="18">G392*H392+I392</f>
        <v>24500</v>
      </c>
      <c r="K392" s="27">
        <f t="shared" ref="K392:K427" si="19">IFERROR(L392/(F392-O392)*100%,0)</f>
        <v>6.9999999999999993E-3</v>
      </c>
      <c r="L392" s="18">
        <v>0.7</v>
      </c>
      <c r="M392" s="18"/>
      <c r="N392" s="18"/>
      <c r="O392" s="18"/>
      <c r="P392" s="18"/>
    </row>
    <row r="393" spans="1:16" x14ac:dyDescent="0.2">
      <c r="A393" s="23">
        <v>46111</v>
      </c>
      <c r="B393" s="18" t="s">
        <v>54</v>
      </c>
      <c r="C393" s="18" t="s">
        <v>20</v>
      </c>
      <c r="D393" s="18">
        <v>4025</v>
      </c>
      <c r="E393" s="18" t="s">
        <v>858</v>
      </c>
      <c r="F393" s="18">
        <v>413.8</v>
      </c>
      <c r="G393" s="18">
        <v>300</v>
      </c>
      <c r="H393" s="18">
        <v>37</v>
      </c>
      <c r="I393" s="18">
        <v>125</v>
      </c>
      <c r="J393" s="8">
        <f t="shared" si="18"/>
        <v>11225</v>
      </c>
      <c r="K393" s="27">
        <f t="shared" si="19"/>
        <v>7.7332044465925568E-3</v>
      </c>
      <c r="L393" s="18">
        <v>3.2</v>
      </c>
      <c r="M393" s="18"/>
      <c r="N393" s="18"/>
      <c r="O393" s="18"/>
      <c r="P393" s="18"/>
    </row>
    <row r="394" spans="1:16" x14ac:dyDescent="0.2">
      <c r="A394" s="23">
        <v>46111</v>
      </c>
      <c r="B394" s="18" t="s">
        <v>54</v>
      </c>
      <c r="C394" s="18" t="s">
        <v>33</v>
      </c>
      <c r="D394" s="18">
        <v>4097</v>
      </c>
      <c r="E394" s="18" t="s">
        <v>860</v>
      </c>
      <c r="F394" s="18">
        <v>524</v>
      </c>
      <c r="G394" s="18">
        <v>500</v>
      </c>
      <c r="H394" s="18">
        <v>35</v>
      </c>
      <c r="I394" s="18">
        <v>92</v>
      </c>
      <c r="J394" s="8">
        <f t="shared" si="18"/>
        <v>17592</v>
      </c>
      <c r="K394" s="27">
        <f t="shared" si="19"/>
        <v>7.607041947402738E-3</v>
      </c>
      <c r="L394" s="18">
        <v>3.5</v>
      </c>
      <c r="M394" s="18">
        <v>4.4000000000000004</v>
      </c>
      <c r="N394" s="18"/>
      <c r="O394" s="18">
        <v>63.9</v>
      </c>
      <c r="P394" s="18"/>
    </row>
    <row r="395" spans="1:16" x14ac:dyDescent="0.2">
      <c r="A395" s="23">
        <v>46111</v>
      </c>
      <c r="B395" s="18" t="s">
        <v>54</v>
      </c>
      <c r="C395" s="18" t="s">
        <v>24</v>
      </c>
      <c r="D395" s="18">
        <v>3961</v>
      </c>
      <c r="E395" s="18" t="s">
        <v>570</v>
      </c>
      <c r="F395" s="18">
        <v>324.10000000000002</v>
      </c>
      <c r="G395" s="18">
        <v>800</v>
      </c>
      <c r="H395" s="18">
        <v>27</v>
      </c>
      <c r="I395" s="18"/>
      <c r="J395" s="8">
        <f t="shared" si="18"/>
        <v>21600</v>
      </c>
      <c r="K395" s="27">
        <f t="shared" si="19"/>
        <v>2.776920703486578E-3</v>
      </c>
      <c r="L395" s="18">
        <v>0.9</v>
      </c>
      <c r="M395" s="18"/>
      <c r="N395" s="18"/>
      <c r="O395" s="18"/>
      <c r="P395" s="18"/>
    </row>
    <row r="396" spans="1:16" x14ac:dyDescent="0.2">
      <c r="A396" s="23">
        <v>46111</v>
      </c>
      <c r="B396" s="18" t="s">
        <v>54</v>
      </c>
      <c r="C396" s="18" t="s">
        <v>27</v>
      </c>
      <c r="D396" s="18">
        <v>4260</v>
      </c>
      <c r="E396" s="18" t="s">
        <v>847</v>
      </c>
      <c r="F396" s="18"/>
      <c r="G396" s="18">
        <v>1000</v>
      </c>
      <c r="H396" s="18">
        <v>1</v>
      </c>
      <c r="I396" s="18">
        <v>500</v>
      </c>
      <c r="J396" s="8">
        <f t="shared" si="18"/>
        <v>1500</v>
      </c>
      <c r="K396" s="27">
        <f t="shared" si="19"/>
        <v>0</v>
      </c>
      <c r="L396" s="18"/>
      <c r="M396" s="18"/>
      <c r="N396" s="18">
        <v>3</v>
      </c>
      <c r="O396" s="18"/>
      <c r="P396" s="18"/>
    </row>
    <row r="397" spans="1:16" x14ac:dyDescent="0.2">
      <c r="A397" s="23">
        <v>46111</v>
      </c>
      <c r="B397" s="18" t="s">
        <v>54</v>
      </c>
      <c r="C397" s="18" t="s">
        <v>33</v>
      </c>
      <c r="D397" s="18">
        <v>4056</v>
      </c>
      <c r="E397" s="18" t="s">
        <v>866</v>
      </c>
      <c r="F397" s="18">
        <v>197.3</v>
      </c>
      <c r="G397" s="18">
        <v>500</v>
      </c>
      <c r="H397" s="18">
        <v>9</v>
      </c>
      <c r="I397" s="18">
        <v>339</v>
      </c>
      <c r="J397" s="8">
        <f t="shared" si="18"/>
        <v>4839</v>
      </c>
      <c r="K397" s="27">
        <f t="shared" si="19"/>
        <v>4.0160642570281124E-2</v>
      </c>
      <c r="L397" s="18">
        <v>7</v>
      </c>
      <c r="M397" s="18">
        <v>1.3</v>
      </c>
      <c r="N397" s="18"/>
      <c r="O397" s="18">
        <v>23</v>
      </c>
      <c r="P397" s="18"/>
    </row>
    <row r="398" spans="1:16" x14ac:dyDescent="0.2">
      <c r="A398" s="23">
        <v>46111</v>
      </c>
      <c r="B398" s="18" t="s">
        <v>54</v>
      </c>
      <c r="C398" s="18" t="s">
        <v>15</v>
      </c>
      <c r="D398" s="18">
        <v>4035</v>
      </c>
      <c r="E398" s="18" t="s">
        <v>568</v>
      </c>
      <c r="F398" s="18">
        <v>142</v>
      </c>
      <c r="G398" s="18">
        <v>2000</v>
      </c>
      <c r="H398" s="18">
        <v>11</v>
      </c>
      <c r="I398" s="18">
        <v>1765</v>
      </c>
      <c r="J398" s="8">
        <f t="shared" si="18"/>
        <v>23765</v>
      </c>
      <c r="K398" s="27">
        <f t="shared" si="19"/>
        <v>9.1549295774647887E-3</v>
      </c>
      <c r="L398" s="18">
        <v>1.3</v>
      </c>
      <c r="M398" s="18"/>
      <c r="N398" s="18"/>
      <c r="O398" s="18"/>
      <c r="P398" s="18"/>
    </row>
    <row r="399" spans="1:16" x14ac:dyDescent="0.2">
      <c r="A399" s="23">
        <v>46111</v>
      </c>
      <c r="B399" s="18" t="s">
        <v>54</v>
      </c>
      <c r="C399" s="18" t="s">
        <v>15</v>
      </c>
      <c r="D399" s="18">
        <v>4234</v>
      </c>
      <c r="E399" s="18" t="s">
        <v>867</v>
      </c>
      <c r="F399" s="18">
        <v>550.20000000000005</v>
      </c>
      <c r="G399" s="18">
        <v>600</v>
      </c>
      <c r="H399" s="18">
        <v>52</v>
      </c>
      <c r="I399" s="18">
        <v>200</v>
      </c>
      <c r="J399" s="8">
        <f t="shared" si="18"/>
        <v>31400</v>
      </c>
      <c r="K399" s="27">
        <f t="shared" si="19"/>
        <v>1.0359869138495093E-2</v>
      </c>
      <c r="L399" s="18">
        <v>5.7</v>
      </c>
      <c r="M399" s="18"/>
      <c r="N399" s="18"/>
      <c r="O399" s="18"/>
      <c r="P399" s="18"/>
    </row>
    <row r="400" spans="1:16" x14ac:dyDescent="0.2">
      <c r="A400" s="23">
        <v>46111</v>
      </c>
      <c r="B400" s="18" t="s">
        <v>54</v>
      </c>
      <c r="C400" s="18" t="s">
        <v>20</v>
      </c>
      <c r="D400" s="18">
        <v>4027</v>
      </c>
      <c r="E400" s="18" t="s">
        <v>868</v>
      </c>
      <c r="F400" s="18">
        <v>347.3</v>
      </c>
      <c r="G400" s="18">
        <v>400</v>
      </c>
      <c r="H400" s="18">
        <v>38</v>
      </c>
      <c r="I400" s="18">
        <v>230</v>
      </c>
      <c r="J400" s="8">
        <f t="shared" si="18"/>
        <v>15430</v>
      </c>
      <c r="K400" s="27">
        <f t="shared" si="19"/>
        <v>1.6412323639504751E-2</v>
      </c>
      <c r="L400" s="18">
        <v>5.7</v>
      </c>
      <c r="M400" s="18"/>
      <c r="N400" s="18">
        <v>4.5</v>
      </c>
      <c r="O400" s="18"/>
      <c r="P400" s="18"/>
    </row>
    <row r="401" spans="1:16" x14ac:dyDescent="0.2">
      <c r="A401" s="23">
        <v>46111</v>
      </c>
      <c r="B401" s="18" t="s">
        <v>54</v>
      </c>
      <c r="C401" s="18" t="s">
        <v>33</v>
      </c>
      <c r="D401" s="18">
        <v>4075</v>
      </c>
      <c r="E401" s="18" t="s">
        <v>383</v>
      </c>
      <c r="F401" s="18">
        <v>333.1</v>
      </c>
      <c r="G401" s="18">
        <v>500</v>
      </c>
      <c r="H401" s="18">
        <v>34</v>
      </c>
      <c r="I401" s="18">
        <v>237</v>
      </c>
      <c r="J401" s="8">
        <f t="shared" si="18"/>
        <v>17237</v>
      </c>
      <c r="K401" s="27">
        <f t="shared" si="19"/>
        <v>2.6810584958217268E-2</v>
      </c>
      <c r="L401" s="18">
        <v>7.7</v>
      </c>
      <c r="M401" s="18">
        <v>12</v>
      </c>
      <c r="N401" s="18"/>
      <c r="O401" s="18">
        <v>45.9</v>
      </c>
      <c r="P401" s="18"/>
    </row>
    <row r="402" spans="1:16" x14ac:dyDescent="0.2">
      <c r="A402" s="23">
        <v>46111</v>
      </c>
      <c r="B402" s="18" t="s">
        <v>54</v>
      </c>
      <c r="C402" s="18" t="s">
        <v>33</v>
      </c>
      <c r="D402" s="18">
        <v>4054</v>
      </c>
      <c r="E402" s="18" t="s">
        <v>869</v>
      </c>
      <c r="F402" s="18">
        <v>509.5</v>
      </c>
      <c r="G402" s="18">
        <v>500</v>
      </c>
      <c r="H402" s="18">
        <v>41</v>
      </c>
      <c r="I402" s="18">
        <v>368</v>
      </c>
      <c r="J402" s="8">
        <f t="shared" si="18"/>
        <v>20868</v>
      </c>
      <c r="K402" s="27">
        <f t="shared" si="19"/>
        <v>4.1593695271453589E-2</v>
      </c>
      <c r="L402" s="18">
        <v>19</v>
      </c>
      <c r="M402" s="18">
        <v>5</v>
      </c>
      <c r="N402" s="18"/>
      <c r="O402" s="18">
        <v>52.7</v>
      </c>
      <c r="P402" s="18"/>
    </row>
    <row r="403" spans="1:16" x14ac:dyDescent="0.2">
      <c r="A403" s="23">
        <v>46111</v>
      </c>
      <c r="B403" s="18" t="s">
        <v>54</v>
      </c>
      <c r="C403" s="18" t="s">
        <v>27</v>
      </c>
      <c r="D403" s="18">
        <v>3904</v>
      </c>
      <c r="E403" s="18" t="s">
        <v>815</v>
      </c>
      <c r="F403" s="18">
        <v>241.9</v>
      </c>
      <c r="G403" s="18">
        <v>1000</v>
      </c>
      <c r="H403" s="18">
        <v>22</v>
      </c>
      <c r="I403" s="18"/>
      <c r="J403" s="8">
        <f t="shared" si="18"/>
        <v>22000</v>
      </c>
      <c r="K403" s="27">
        <f t="shared" si="19"/>
        <v>6.6143034311699055E-3</v>
      </c>
      <c r="L403" s="18">
        <v>1.6</v>
      </c>
      <c r="M403" s="18">
        <v>4</v>
      </c>
      <c r="N403" s="18">
        <v>13.1</v>
      </c>
      <c r="O403" s="18"/>
      <c r="P403" s="18"/>
    </row>
    <row r="404" spans="1:16" x14ac:dyDescent="0.2">
      <c r="A404" s="23">
        <v>46111</v>
      </c>
      <c r="B404" s="18" t="s">
        <v>54</v>
      </c>
      <c r="C404" s="18" t="s">
        <v>20</v>
      </c>
      <c r="D404" s="18">
        <v>4038</v>
      </c>
      <c r="E404" s="18" t="s">
        <v>431</v>
      </c>
      <c r="F404" s="18">
        <v>265.2</v>
      </c>
      <c r="G404" s="18">
        <v>500</v>
      </c>
      <c r="H404" s="18">
        <v>29</v>
      </c>
      <c r="I404" s="18"/>
      <c r="J404" s="8">
        <f t="shared" si="18"/>
        <v>14500</v>
      </c>
      <c r="K404" s="27">
        <f t="shared" si="19"/>
        <v>1.4705882352941176E-2</v>
      </c>
      <c r="L404" s="18">
        <v>3.9</v>
      </c>
      <c r="M404" s="18"/>
      <c r="N404" s="18"/>
      <c r="O404" s="18"/>
      <c r="P404" s="18"/>
    </row>
    <row r="405" spans="1:16" x14ac:dyDescent="0.2">
      <c r="A405" s="23">
        <v>46111</v>
      </c>
      <c r="B405" s="18" t="s">
        <v>54</v>
      </c>
      <c r="C405" s="18" t="s">
        <v>15</v>
      </c>
      <c r="D405" s="18">
        <v>4096</v>
      </c>
      <c r="E405" s="18" t="s">
        <v>870</v>
      </c>
      <c r="F405" s="18">
        <v>367.6</v>
      </c>
      <c r="G405" s="18">
        <v>500</v>
      </c>
      <c r="H405" s="18">
        <v>22</v>
      </c>
      <c r="I405" s="18"/>
      <c r="J405" s="8">
        <f t="shared" si="18"/>
        <v>11000</v>
      </c>
      <c r="K405" s="27">
        <f t="shared" si="19"/>
        <v>9.5212187159956461E-3</v>
      </c>
      <c r="L405" s="18">
        <v>3.5</v>
      </c>
      <c r="M405" s="18"/>
      <c r="N405" s="18"/>
      <c r="O405" s="18"/>
      <c r="P405" s="18"/>
    </row>
    <row r="406" spans="1:16" x14ac:dyDescent="0.2">
      <c r="A406" s="23">
        <v>46111</v>
      </c>
      <c r="B406" s="18" t="s">
        <v>54</v>
      </c>
      <c r="C406" s="18" t="s">
        <v>33</v>
      </c>
      <c r="D406" s="18">
        <v>4166</v>
      </c>
      <c r="E406" s="18" t="s">
        <v>575</v>
      </c>
      <c r="F406" s="18">
        <v>235.1</v>
      </c>
      <c r="G406" s="18">
        <v>1000</v>
      </c>
      <c r="H406" s="18">
        <v>21</v>
      </c>
      <c r="I406" s="18"/>
      <c r="J406" s="8">
        <f t="shared" si="18"/>
        <v>21000</v>
      </c>
      <c r="K406" s="27">
        <f t="shared" si="19"/>
        <v>3.2894736842105268E-2</v>
      </c>
      <c r="L406" s="18">
        <v>6</v>
      </c>
      <c r="M406" s="18">
        <v>5</v>
      </c>
      <c r="N406" s="18"/>
      <c r="O406" s="18">
        <v>52.7</v>
      </c>
      <c r="P406" s="18"/>
    </row>
    <row r="407" spans="1:16" x14ac:dyDescent="0.2">
      <c r="A407" s="23">
        <v>46111</v>
      </c>
      <c r="B407" s="18" t="s">
        <v>54</v>
      </c>
      <c r="C407" s="18" t="s">
        <v>37</v>
      </c>
      <c r="D407" s="18">
        <v>4154</v>
      </c>
      <c r="E407" s="18" t="s">
        <v>871</v>
      </c>
      <c r="F407" s="18"/>
      <c r="G407" s="18">
        <v>30</v>
      </c>
      <c r="H407" s="18">
        <v>1</v>
      </c>
      <c r="I407" s="18"/>
      <c r="J407" s="8">
        <f t="shared" si="18"/>
        <v>30</v>
      </c>
      <c r="K407" s="27">
        <f t="shared" si="19"/>
        <v>0</v>
      </c>
      <c r="L407" s="18"/>
      <c r="M407" s="18"/>
      <c r="N407" s="18"/>
      <c r="O407" s="18"/>
      <c r="P407" s="18"/>
    </row>
    <row r="408" spans="1:16" x14ac:dyDescent="0.2">
      <c r="A408" s="23">
        <v>46111</v>
      </c>
      <c r="B408" s="18" t="s">
        <v>54</v>
      </c>
      <c r="C408" s="18" t="s">
        <v>37</v>
      </c>
      <c r="D408" s="18">
        <v>3712</v>
      </c>
      <c r="E408" s="18" t="s">
        <v>623</v>
      </c>
      <c r="F408" s="18"/>
      <c r="G408" s="18">
        <v>200</v>
      </c>
      <c r="H408" s="18">
        <v>10</v>
      </c>
      <c r="I408" s="18"/>
      <c r="J408" s="8">
        <f t="shared" si="18"/>
        <v>2000</v>
      </c>
      <c r="K408" s="27">
        <f t="shared" si="19"/>
        <v>0</v>
      </c>
      <c r="L408" s="18"/>
      <c r="M408" s="18"/>
      <c r="N408" s="18"/>
      <c r="O408" s="18"/>
      <c r="P408" s="18"/>
    </row>
    <row r="409" spans="1:16" x14ac:dyDescent="0.2">
      <c r="A409" s="23">
        <v>46111</v>
      </c>
      <c r="B409" s="18" t="s">
        <v>54</v>
      </c>
      <c r="C409" s="18" t="s">
        <v>27</v>
      </c>
      <c r="D409" s="18">
        <v>4016</v>
      </c>
      <c r="E409" s="18" t="s">
        <v>220</v>
      </c>
      <c r="F409" s="18">
        <v>215.4</v>
      </c>
      <c r="G409" s="18">
        <v>2000</v>
      </c>
      <c r="H409" s="18">
        <v>30</v>
      </c>
      <c r="I409" s="18"/>
      <c r="J409" s="8">
        <f t="shared" si="18"/>
        <v>60000</v>
      </c>
      <c r="K409" s="27">
        <f t="shared" si="19"/>
        <v>0</v>
      </c>
      <c r="L409" s="18"/>
      <c r="M409" s="18"/>
      <c r="N409" s="18">
        <v>3</v>
      </c>
      <c r="O409" s="18"/>
      <c r="P409" s="18"/>
    </row>
    <row r="410" spans="1:16" x14ac:dyDescent="0.2">
      <c r="A410" s="23">
        <v>46112</v>
      </c>
      <c r="B410" s="18" t="s">
        <v>14</v>
      </c>
      <c r="C410" s="18" t="s">
        <v>15</v>
      </c>
      <c r="D410" s="18">
        <v>4096</v>
      </c>
      <c r="E410" s="18" t="s">
        <v>870</v>
      </c>
      <c r="F410" s="18">
        <v>102.5</v>
      </c>
      <c r="G410" s="18">
        <v>500</v>
      </c>
      <c r="H410" s="18">
        <v>5</v>
      </c>
      <c r="I410" s="18">
        <v>150</v>
      </c>
      <c r="J410" s="8">
        <f t="shared" si="18"/>
        <v>2650</v>
      </c>
      <c r="K410" s="27">
        <f t="shared" si="19"/>
        <v>0</v>
      </c>
      <c r="L410" s="18"/>
      <c r="M410" s="18"/>
      <c r="N410" s="18"/>
      <c r="O410" s="18"/>
      <c r="P410" s="18"/>
    </row>
    <row r="411" spans="1:16" x14ac:dyDescent="0.2">
      <c r="A411" s="23">
        <v>46112</v>
      </c>
      <c r="B411" s="18" t="s">
        <v>14</v>
      </c>
      <c r="C411" s="18" t="s">
        <v>15</v>
      </c>
      <c r="D411" s="18">
        <v>4215</v>
      </c>
      <c r="E411" s="18" t="s">
        <v>872</v>
      </c>
      <c r="F411" s="18">
        <v>335.2</v>
      </c>
      <c r="G411" s="18">
        <v>500</v>
      </c>
      <c r="H411" s="18">
        <v>18</v>
      </c>
      <c r="I411" s="18">
        <v>300</v>
      </c>
      <c r="J411" s="8">
        <f t="shared" si="18"/>
        <v>9300</v>
      </c>
      <c r="K411" s="27">
        <f t="shared" si="19"/>
        <v>6.2649164677804304E-3</v>
      </c>
      <c r="L411" s="18">
        <v>2.1</v>
      </c>
      <c r="M411" s="18"/>
      <c r="N411" s="18"/>
      <c r="O411" s="18"/>
      <c r="P411" s="18"/>
    </row>
    <row r="412" spans="1:16" x14ac:dyDescent="0.2">
      <c r="A412" s="23">
        <v>46112</v>
      </c>
      <c r="B412" s="18" t="s">
        <v>14</v>
      </c>
      <c r="C412" s="18" t="s">
        <v>15</v>
      </c>
      <c r="D412" s="18">
        <v>4234</v>
      </c>
      <c r="E412" s="18" t="s">
        <v>867</v>
      </c>
      <c r="F412" s="18">
        <v>302.3</v>
      </c>
      <c r="G412" s="18">
        <v>500</v>
      </c>
      <c r="H412" s="18">
        <v>34</v>
      </c>
      <c r="I412" s="18"/>
      <c r="J412" s="8">
        <f t="shared" si="18"/>
        <v>17000</v>
      </c>
      <c r="K412" s="27">
        <f t="shared" si="19"/>
        <v>7.2775388686735039E-3</v>
      </c>
      <c r="L412" s="18">
        <v>2.2000000000000002</v>
      </c>
      <c r="M412" s="18"/>
      <c r="N412" s="18"/>
      <c r="O412" s="18"/>
      <c r="P412" s="18"/>
    </row>
    <row r="413" spans="1:16" x14ac:dyDescent="0.2">
      <c r="A413" s="23">
        <v>46112</v>
      </c>
      <c r="B413" s="18" t="s">
        <v>14</v>
      </c>
      <c r="C413" s="18" t="s">
        <v>15</v>
      </c>
      <c r="D413" s="18">
        <v>4154</v>
      </c>
      <c r="E413" s="18" t="s">
        <v>871</v>
      </c>
      <c r="F413" s="18">
        <v>87.3</v>
      </c>
      <c r="G413" s="18">
        <v>100</v>
      </c>
      <c r="H413" s="18">
        <v>6</v>
      </c>
      <c r="I413" s="18">
        <v>20</v>
      </c>
      <c r="J413" s="8">
        <f t="shared" si="18"/>
        <v>620</v>
      </c>
      <c r="K413" s="27">
        <f t="shared" si="19"/>
        <v>0.12256586483390607</v>
      </c>
      <c r="L413" s="18">
        <v>10.7</v>
      </c>
      <c r="M413" s="18"/>
      <c r="N413" s="18"/>
      <c r="O413" s="18"/>
      <c r="P413" s="18"/>
    </row>
    <row r="414" spans="1:16" x14ac:dyDescent="0.2">
      <c r="A414" s="23">
        <v>46112</v>
      </c>
      <c r="B414" s="18" t="s">
        <v>14</v>
      </c>
      <c r="C414" s="18" t="s">
        <v>15</v>
      </c>
      <c r="D414" s="18">
        <v>4162</v>
      </c>
      <c r="E414" s="18" t="s">
        <v>106</v>
      </c>
      <c r="F414" s="18">
        <v>390.5</v>
      </c>
      <c r="G414" s="18">
        <v>300</v>
      </c>
      <c r="H414" s="18">
        <v>20</v>
      </c>
      <c r="I414" s="18"/>
      <c r="J414" s="8">
        <f t="shared" si="18"/>
        <v>6000</v>
      </c>
      <c r="K414" s="27">
        <f t="shared" si="19"/>
        <v>1.0499359795134442E-2</v>
      </c>
      <c r="L414" s="18">
        <v>4.0999999999999996</v>
      </c>
      <c r="M414" s="18"/>
      <c r="N414" s="18"/>
      <c r="O414" s="18"/>
      <c r="P414" s="18"/>
    </row>
    <row r="415" spans="1:16" x14ac:dyDescent="0.2">
      <c r="A415" s="23">
        <v>46112</v>
      </c>
      <c r="B415" s="18" t="s">
        <v>14</v>
      </c>
      <c r="C415" s="18" t="s">
        <v>20</v>
      </c>
      <c r="D415" s="18">
        <v>4038</v>
      </c>
      <c r="E415" s="18" t="s">
        <v>431</v>
      </c>
      <c r="F415" s="18">
        <v>565.1</v>
      </c>
      <c r="G415" s="18">
        <v>500</v>
      </c>
      <c r="H415" s="18">
        <v>57</v>
      </c>
      <c r="I415" s="18">
        <v>200</v>
      </c>
      <c r="J415" s="8">
        <f t="shared" si="18"/>
        <v>28700</v>
      </c>
      <c r="K415" s="27">
        <f t="shared" si="19"/>
        <v>4.4239957529640774E-3</v>
      </c>
      <c r="L415" s="18">
        <v>2.5</v>
      </c>
      <c r="M415" s="18"/>
      <c r="N415" s="18">
        <v>10.199999999999999</v>
      </c>
      <c r="O415" s="18"/>
      <c r="P415" s="18"/>
    </row>
    <row r="416" spans="1:16" x14ac:dyDescent="0.2">
      <c r="A416" s="23">
        <v>46112</v>
      </c>
      <c r="B416" s="18" t="s">
        <v>14</v>
      </c>
      <c r="C416" s="18" t="s">
        <v>20</v>
      </c>
      <c r="D416" s="18">
        <v>4051</v>
      </c>
      <c r="E416" s="18" t="s">
        <v>873</v>
      </c>
      <c r="F416" s="18">
        <v>102.7</v>
      </c>
      <c r="G416" s="18">
        <v>1500</v>
      </c>
      <c r="H416" s="18">
        <v>14</v>
      </c>
      <c r="I416" s="18">
        <v>1000</v>
      </c>
      <c r="J416" s="8">
        <f t="shared" si="18"/>
        <v>22000</v>
      </c>
      <c r="K416" s="27">
        <f t="shared" si="19"/>
        <v>1.0710808179162611E-2</v>
      </c>
      <c r="L416" s="18">
        <v>1.1000000000000001</v>
      </c>
      <c r="M416" s="18"/>
      <c r="N416" s="18"/>
      <c r="O416" s="18"/>
      <c r="P416" s="18"/>
    </row>
    <row r="417" spans="1:16" x14ac:dyDescent="0.2">
      <c r="A417" s="23">
        <v>46112</v>
      </c>
      <c r="B417" s="18" t="s">
        <v>14</v>
      </c>
      <c r="C417" s="18" t="s">
        <v>20</v>
      </c>
      <c r="D417" s="18">
        <v>4110</v>
      </c>
      <c r="E417" s="18" t="s">
        <v>447</v>
      </c>
      <c r="F417" s="18">
        <v>265.8</v>
      </c>
      <c r="G417" s="18">
        <v>1500</v>
      </c>
      <c r="H417" s="18">
        <v>22</v>
      </c>
      <c r="I417" s="18"/>
      <c r="J417" s="8">
        <f t="shared" si="18"/>
        <v>33000</v>
      </c>
      <c r="K417" s="27">
        <f t="shared" si="19"/>
        <v>2.6335590669676447E-3</v>
      </c>
      <c r="L417" s="18">
        <v>0.7</v>
      </c>
      <c r="M417" s="18"/>
      <c r="N417" s="18"/>
      <c r="O417" s="18"/>
      <c r="P417" s="18"/>
    </row>
    <row r="418" spans="1:16" x14ac:dyDescent="0.2">
      <c r="A418" s="23">
        <v>46112</v>
      </c>
      <c r="B418" s="18" t="s">
        <v>14</v>
      </c>
      <c r="C418" s="18" t="s">
        <v>24</v>
      </c>
      <c r="D418" s="18">
        <v>3961</v>
      </c>
      <c r="E418" s="18" t="s">
        <v>570</v>
      </c>
      <c r="F418" s="18">
        <v>151.19999999999999</v>
      </c>
      <c r="G418" s="18">
        <v>800</v>
      </c>
      <c r="H418" s="18">
        <v>16</v>
      </c>
      <c r="I418" s="18">
        <v>700</v>
      </c>
      <c r="J418" s="8">
        <f t="shared" si="18"/>
        <v>13500</v>
      </c>
      <c r="K418" s="27">
        <f t="shared" si="19"/>
        <v>1.3227513227513229E-2</v>
      </c>
      <c r="L418" s="18">
        <v>2</v>
      </c>
      <c r="M418" s="18"/>
      <c r="N418" s="18"/>
      <c r="O418" s="18"/>
      <c r="P418" s="18"/>
    </row>
    <row r="419" spans="1:16" x14ac:dyDescent="0.2">
      <c r="A419" s="23">
        <v>46112</v>
      </c>
      <c r="B419" s="18" t="s">
        <v>14</v>
      </c>
      <c r="C419" s="18" t="s">
        <v>24</v>
      </c>
      <c r="D419" s="18">
        <v>4114</v>
      </c>
      <c r="E419" s="18" t="s">
        <v>874</v>
      </c>
      <c r="F419" s="18">
        <v>228.6</v>
      </c>
      <c r="G419" s="18">
        <v>500</v>
      </c>
      <c r="H419" s="18">
        <v>17</v>
      </c>
      <c r="I419" s="18"/>
      <c r="J419" s="8">
        <f t="shared" si="18"/>
        <v>8500</v>
      </c>
      <c r="K419" s="27">
        <f t="shared" si="19"/>
        <v>4.8747763864042934E-2</v>
      </c>
      <c r="L419" s="18">
        <v>10.9</v>
      </c>
      <c r="M419" s="18">
        <v>6.1</v>
      </c>
      <c r="N419" s="18"/>
      <c r="O419" s="18">
        <v>5</v>
      </c>
      <c r="P419" s="18"/>
    </row>
    <row r="420" spans="1:16" x14ac:dyDescent="0.2">
      <c r="A420" s="23">
        <v>46112</v>
      </c>
      <c r="B420" s="18" t="s">
        <v>14</v>
      </c>
      <c r="C420" s="18" t="s">
        <v>27</v>
      </c>
      <c r="D420" s="18">
        <v>3904</v>
      </c>
      <c r="E420" s="18" t="s">
        <v>815</v>
      </c>
      <c r="F420" s="18">
        <v>126</v>
      </c>
      <c r="G420" s="18">
        <v>1000</v>
      </c>
      <c r="H420" s="18">
        <v>9</v>
      </c>
      <c r="I420" s="18">
        <v>900</v>
      </c>
      <c r="J420" s="8">
        <f t="shared" si="18"/>
        <v>9900</v>
      </c>
      <c r="K420" s="27">
        <f t="shared" si="19"/>
        <v>0</v>
      </c>
      <c r="L420" s="18"/>
      <c r="M420" s="18">
        <v>5.4</v>
      </c>
      <c r="N420" s="18">
        <v>4.3</v>
      </c>
      <c r="O420" s="18"/>
      <c r="P420" s="18"/>
    </row>
    <row r="421" spans="1:16" x14ac:dyDescent="0.2">
      <c r="A421" s="23">
        <v>46112</v>
      </c>
      <c r="B421" s="18" t="s">
        <v>14</v>
      </c>
      <c r="C421" s="18" t="s">
        <v>27</v>
      </c>
      <c r="D421" s="18">
        <v>3907</v>
      </c>
      <c r="E421" s="18" t="s">
        <v>875</v>
      </c>
      <c r="F421" s="18">
        <v>221.3</v>
      </c>
      <c r="G421" s="18">
        <v>500</v>
      </c>
      <c r="H421" s="18">
        <v>36</v>
      </c>
      <c r="I421" s="18">
        <v>450</v>
      </c>
      <c r="J421" s="8">
        <f t="shared" si="18"/>
        <v>18450</v>
      </c>
      <c r="K421" s="27">
        <f t="shared" si="19"/>
        <v>0</v>
      </c>
      <c r="L421" s="18"/>
      <c r="M421" s="18">
        <v>13.3</v>
      </c>
      <c r="N421" s="18"/>
      <c r="O421" s="18">
        <v>10</v>
      </c>
      <c r="P421" s="18"/>
    </row>
    <row r="422" spans="1:16" x14ac:dyDescent="0.2">
      <c r="A422" s="23">
        <v>46112</v>
      </c>
      <c r="B422" s="18" t="s">
        <v>14</v>
      </c>
      <c r="C422" s="18" t="s">
        <v>27</v>
      </c>
      <c r="D422" s="18">
        <v>4068</v>
      </c>
      <c r="E422" s="18" t="s">
        <v>876</v>
      </c>
      <c r="F422" s="18">
        <v>108.6</v>
      </c>
      <c r="G422" s="18">
        <v>500</v>
      </c>
      <c r="H422" s="18">
        <v>10</v>
      </c>
      <c r="I422" s="18"/>
      <c r="J422" s="8">
        <f t="shared" si="18"/>
        <v>5000</v>
      </c>
      <c r="K422" s="27">
        <f t="shared" si="19"/>
        <v>0</v>
      </c>
      <c r="L422" s="18"/>
      <c r="M422" s="18">
        <v>9</v>
      </c>
      <c r="N422" s="18">
        <v>9</v>
      </c>
      <c r="O422" s="18">
        <v>9</v>
      </c>
      <c r="P422" s="18"/>
    </row>
    <row r="423" spans="1:16" x14ac:dyDescent="0.2">
      <c r="A423" s="23">
        <v>46112</v>
      </c>
      <c r="B423" s="18" t="s">
        <v>14</v>
      </c>
      <c r="C423" s="18" t="s">
        <v>33</v>
      </c>
      <c r="D423" s="18">
        <v>4166</v>
      </c>
      <c r="E423" s="18" t="s">
        <v>575</v>
      </c>
      <c r="F423" s="18">
        <v>247.8</v>
      </c>
      <c r="G423" s="18">
        <v>1000</v>
      </c>
      <c r="H423" s="18">
        <v>22</v>
      </c>
      <c r="I423" s="18">
        <v>300</v>
      </c>
      <c r="J423" s="8">
        <f t="shared" si="18"/>
        <v>22300</v>
      </c>
      <c r="K423" s="27">
        <f t="shared" si="19"/>
        <v>2.7422303473491772E-2</v>
      </c>
      <c r="L423" s="18">
        <v>6</v>
      </c>
      <c r="M423" s="18">
        <v>15</v>
      </c>
      <c r="N423" s="18">
        <v>10</v>
      </c>
      <c r="O423" s="18">
        <v>29</v>
      </c>
      <c r="P423" s="18"/>
    </row>
    <row r="424" spans="1:16" x14ac:dyDescent="0.2">
      <c r="A424" s="23">
        <v>46112</v>
      </c>
      <c r="B424" s="18" t="s">
        <v>14</v>
      </c>
      <c r="C424" s="18" t="s">
        <v>33</v>
      </c>
      <c r="D424" s="18">
        <v>4055</v>
      </c>
      <c r="E424" s="18" t="s">
        <v>877</v>
      </c>
      <c r="F424" s="18">
        <v>154.4</v>
      </c>
      <c r="G424" s="18">
        <v>500</v>
      </c>
      <c r="H424" s="18">
        <v>13</v>
      </c>
      <c r="I424" s="18">
        <v>270</v>
      </c>
      <c r="J424" s="8">
        <f t="shared" si="18"/>
        <v>6770</v>
      </c>
      <c r="K424" s="27">
        <f t="shared" si="19"/>
        <v>1.488095238095238E-2</v>
      </c>
      <c r="L424" s="18">
        <v>2</v>
      </c>
      <c r="M424" s="18">
        <v>1</v>
      </c>
      <c r="N424" s="18"/>
      <c r="O424" s="18">
        <v>20</v>
      </c>
      <c r="P424" s="18"/>
    </row>
    <row r="425" spans="1:16" x14ac:dyDescent="0.2">
      <c r="A425" s="23">
        <v>46112</v>
      </c>
      <c r="B425" s="18" t="s">
        <v>14</v>
      </c>
      <c r="C425" s="18" t="s">
        <v>33</v>
      </c>
      <c r="D425" s="18">
        <v>4107</v>
      </c>
      <c r="E425" s="18" t="s">
        <v>323</v>
      </c>
      <c r="F425" s="18">
        <v>564</v>
      </c>
      <c r="G425" s="18">
        <v>500</v>
      </c>
      <c r="H425" s="18">
        <v>60</v>
      </c>
      <c r="I425" s="18"/>
      <c r="J425" s="8">
        <f t="shared" si="18"/>
        <v>30000</v>
      </c>
      <c r="K425" s="27">
        <f t="shared" si="19"/>
        <v>8.0531507952486415E-3</v>
      </c>
      <c r="L425" s="18">
        <v>4</v>
      </c>
      <c r="M425" s="18">
        <v>10</v>
      </c>
      <c r="N425" s="18"/>
      <c r="O425" s="18">
        <v>67.3</v>
      </c>
      <c r="P425" s="18"/>
    </row>
    <row r="426" spans="1:16" x14ac:dyDescent="0.2">
      <c r="A426" s="23">
        <v>46112</v>
      </c>
      <c r="B426" s="18" t="s">
        <v>14</v>
      </c>
      <c r="C426" s="18" t="s">
        <v>37</v>
      </c>
      <c r="D426" s="18">
        <v>3712</v>
      </c>
      <c r="E426" s="18" t="s">
        <v>623</v>
      </c>
      <c r="F426" s="18"/>
      <c r="G426" s="18">
        <v>200</v>
      </c>
      <c r="H426" s="18">
        <v>3</v>
      </c>
      <c r="I426" s="18"/>
      <c r="J426" s="8">
        <f t="shared" si="18"/>
        <v>600</v>
      </c>
      <c r="K426" s="27">
        <f t="shared" si="19"/>
        <v>0</v>
      </c>
      <c r="L426" s="18"/>
      <c r="M426" s="18"/>
      <c r="N426" s="18"/>
      <c r="O426" s="18"/>
      <c r="P426" s="18"/>
    </row>
    <row r="427" spans="1:16" x14ac:dyDescent="0.2">
      <c r="A427" s="23">
        <v>46112</v>
      </c>
      <c r="B427" s="18" t="s">
        <v>14</v>
      </c>
      <c r="C427" s="18" t="s">
        <v>37</v>
      </c>
      <c r="D427" s="18">
        <v>4154</v>
      </c>
      <c r="E427" s="18" t="s">
        <v>871</v>
      </c>
      <c r="F427" s="18"/>
      <c r="G427" s="18">
        <v>100</v>
      </c>
      <c r="H427" s="18">
        <v>1</v>
      </c>
      <c r="I427" s="18">
        <v>25</v>
      </c>
      <c r="J427" s="8">
        <f t="shared" si="18"/>
        <v>125</v>
      </c>
      <c r="K427" s="27">
        <f t="shared" si="19"/>
        <v>0</v>
      </c>
      <c r="L427" s="18"/>
      <c r="M427" s="18"/>
      <c r="N427" s="18"/>
      <c r="O427" s="18">
        <v>5.7</v>
      </c>
      <c r="P427" s="18"/>
    </row>
    <row r="428" spans="1:16" x14ac:dyDescent="0.2">
      <c r="A428" s="5"/>
      <c r="B428" s="5"/>
      <c r="C428" s="5"/>
      <c r="D428" s="5"/>
      <c r="E428" s="5"/>
      <c r="F428" s="5">
        <f t="shared" ref="F428" si="20">SUM(F2:F427)</f>
        <v>95513.699999999968</v>
      </c>
      <c r="G428" s="5"/>
      <c r="H428" s="5"/>
      <c r="I428" s="5"/>
      <c r="J428" s="5">
        <f>SUM(J2:J427)</f>
        <v>7821646.2999999998</v>
      </c>
      <c r="K428" s="33">
        <f>L428/F428*100%</f>
        <v>1.6232226371714242E-2</v>
      </c>
      <c r="L428" s="5">
        <f t="shared" ref="L428" si="21">SUM(L2:L427)</f>
        <v>1550.4000000000021</v>
      </c>
      <c r="M428" s="5"/>
      <c r="N428" s="5"/>
      <c r="O428" s="5"/>
      <c r="P428" s="5"/>
    </row>
    <row r="430" spans="1:16" x14ac:dyDescent="0.2">
      <c r="B430" s="25" t="s">
        <v>14</v>
      </c>
      <c r="C430" s="25">
        <v>2512280</v>
      </c>
    </row>
    <row r="431" spans="1:16" x14ac:dyDescent="0.2">
      <c r="B431" s="25" t="s">
        <v>40</v>
      </c>
      <c r="C431" s="25">
        <v>2524925</v>
      </c>
    </row>
    <row r="432" spans="1:16" x14ac:dyDescent="0.2">
      <c r="B432" s="25" t="s">
        <v>54</v>
      </c>
      <c r="C432" s="25">
        <v>2784441</v>
      </c>
    </row>
  </sheetData>
  <autoFilter ref="A1:P428" xr:uid="{00000000-0001-0000-0000-000000000000}"/>
  <conditionalFormatting sqref="D2:D427">
    <cfRule type="duplicateValues" dxfId="6" priority="10"/>
  </conditionalFormatting>
  <conditionalFormatting sqref="D429:D5000">
    <cfRule type="duplicateValues" dxfId="5" priority="2"/>
  </conditionalFormatting>
  <conditionalFormatting sqref="K2:K428">
    <cfRule type="cellIs" dxfId="4" priority="1" operator="greaterThanOrEqual">
      <formula>5%</formula>
    </cfRule>
  </conditionalFormatting>
  <pageMargins left="0.25" right="0.25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DE82-B21D-4A3C-9697-4F0C110D7822}">
  <sheetPr>
    <pageSetUpPr fitToPage="1"/>
  </sheetPr>
  <dimension ref="A1:O428"/>
  <sheetViews>
    <sheetView tabSelected="1" workbookViewId="0">
      <pane ySplit="1" topLeftCell="A337" activePane="bottomLeft" state="frozen"/>
      <selection activeCell="B1" sqref="B1"/>
      <selection pane="bottomLeft" activeCell="F340" sqref="F340"/>
    </sheetView>
  </sheetViews>
  <sheetFormatPr baseColWidth="10" defaultColWidth="8.83203125" defaultRowHeight="15" x14ac:dyDescent="0.2"/>
  <cols>
    <col min="1" max="1" width="14.5" bestFit="1" customWidth="1"/>
    <col min="2" max="2" width="20.5" bestFit="1" customWidth="1"/>
    <col min="3" max="3" width="10.33203125" customWidth="1"/>
    <col min="4" max="4" width="11.1640625" customWidth="1"/>
    <col min="5" max="5" width="14.83203125" customWidth="1"/>
    <col min="9" max="9" width="10.33203125" bestFit="1" customWidth="1"/>
    <col min="10" max="10" width="11.33203125" bestFit="1" customWidth="1"/>
    <col min="12" max="12" width="10.33203125" bestFit="1" customWidth="1"/>
    <col min="13" max="13" width="33.6640625" bestFit="1" customWidth="1"/>
  </cols>
  <sheetData>
    <row r="1" spans="1:13" ht="48" customHeight="1" x14ac:dyDescent="0.2">
      <c r="A1" s="6" t="s">
        <v>1001</v>
      </c>
      <c r="B1" s="7" t="s">
        <v>1002</v>
      </c>
      <c r="C1" s="7" t="s">
        <v>1003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392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</row>
    <row r="2" spans="1:13" ht="15" customHeight="1" x14ac:dyDescent="0.2">
      <c r="A2" s="18">
        <v>4114</v>
      </c>
      <c r="B2" s="18" t="s">
        <v>874</v>
      </c>
      <c r="C2" s="18">
        <v>49.2</v>
      </c>
      <c r="D2" s="18">
        <v>500</v>
      </c>
      <c r="E2" s="18">
        <v>5</v>
      </c>
      <c r="F2" s="18">
        <v>300</v>
      </c>
      <c r="G2" s="8">
        <f>D2*E2+F2</f>
        <v>2800</v>
      </c>
      <c r="H2" s="27">
        <f t="shared" ref="H2:H35" si="0">IFERROR(I2/(C2-L2)*100%,0)</f>
        <v>0</v>
      </c>
      <c r="I2" s="18"/>
      <c r="J2" s="18">
        <v>3.6</v>
      </c>
      <c r="K2" s="18"/>
      <c r="L2" s="18">
        <v>1.7</v>
      </c>
      <c r="M2" s="18"/>
    </row>
    <row r="3" spans="1:13" ht="15" customHeight="1" x14ac:dyDescent="0.2">
      <c r="A3" s="18">
        <v>4049</v>
      </c>
      <c r="B3" s="18" t="s">
        <v>46</v>
      </c>
      <c r="C3" s="18">
        <v>909.7</v>
      </c>
      <c r="D3" s="18">
        <v>200</v>
      </c>
      <c r="E3" s="18">
        <v>74</v>
      </c>
      <c r="F3" s="18"/>
      <c r="G3" s="8">
        <f t="shared" ref="G3:G66" si="1">D3*E3+F3</f>
        <v>14800</v>
      </c>
      <c r="H3" s="27">
        <f t="shared" si="0"/>
        <v>2.1985269869187643E-3</v>
      </c>
      <c r="I3" s="18">
        <v>2</v>
      </c>
      <c r="J3" s="18"/>
      <c r="K3" s="18">
        <v>4.4000000000000004</v>
      </c>
      <c r="L3" s="18"/>
      <c r="M3" s="18"/>
    </row>
    <row r="4" spans="1:13" ht="15" customHeight="1" x14ac:dyDescent="0.2">
      <c r="A4" s="18">
        <v>4068</v>
      </c>
      <c r="B4" s="18" t="s">
        <v>878</v>
      </c>
      <c r="C4" s="18">
        <v>85.3</v>
      </c>
      <c r="D4" s="18">
        <v>500</v>
      </c>
      <c r="E4" s="18">
        <v>7</v>
      </c>
      <c r="F4" s="18">
        <v>250</v>
      </c>
      <c r="G4" s="8">
        <f t="shared" si="1"/>
        <v>3750</v>
      </c>
      <c r="H4" s="27">
        <f t="shared" si="0"/>
        <v>4.1095890410958902E-2</v>
      </c>
      <c r="I4" s="18">
        <v>3.3</v>
      </c>
      <c r="J4" s="18"/>
      <c r="K4" s="18"/>
      <c r="L4" s="18">
        <v>5</v>
      </c>
      <c r="M4" s="18"/>
    </row>
    <row r="5" spans="1:13" ht="15" customHeight="1" x14ac:dyDescent="0.2">
      <c r="A5" s="18">
        <v>4047</v>
      </c>
      <c r="B5" s="18" t="s">
        <v>746</v>
      </c>
      <c r="C5" s="18">
        <v>165.5</v>
      </c>
      <c r="D5" s="18">
        <v>1800</v>
      </c>
      <c r="E5" s="18">
        <v>25</v>
      </c>
      <c r="F5" s="18"/>
      <c r="G5" s="8">
        <f t="shared" si="1"/>
        <v>45000</v>
      </c>
      <c r="H5" s="27">
        <f t="shared" si="0"/>
        <v>1.0876132930513595E-2</v>
      </c>
      <c r="I5" s="18">
        <v>1.8</v>
      </c>
      <c r="J5" s="18"/>
      <c r="K5" s="18"/>
      <c r="L5" s="18"/>
      <c r="M5" s="18"/>
    </row>
    <row r="6" spans="1:13" ht="15" customHeight="1" x14ac:dyDescent="0.2">
      <c r="A6" s="18">
        <v>4110</v>
      </c>
      <c r="B6" s="18" t="s">
        <v>447</v>
      </c>
      <c r="C6" s="18">
        <v>122.4</v>
      </c>
      <c r="D6" s="18">
        <v>1500</v>
      </c>
      <c r="E6" s="18">
        <v>7</v>
      </c>
      <c r="F6" s="18">
        <v>835</v>
      </c>
      <c r="G6" s="8">
        <f t="shared" si="1"/>
        <v>11335</v>
      </c>
      <c r="H6" s="27">
        <f t="shared" si="0"/>
        <v>2.4509803921568627E-3</v>
      </c>
      <c r="I6" s="18">
        <v>0.3</v>
      </c>
      <c r="J6" s="18"/>
      <c r="K6" s="18"/>
      <c r="L6" s="18"/>
      <c r="M6" s="18"/>
    </row>
    <row r="7" spans="1:13" ht="15" customHeight="1" x14ac:dyDescent="0.2">
      <c r="A7" s="18">
        <v>4153</v>
      </c>
      <c r="B7" s="18" t="s">
        <v>879</v>
      </c>
      <c r="C7" s="18">
        <v>537.79999999999995</v>
      </c>
      <c r="D7" s="18">
        <v>1500</v>
      </c>
      <c r="E7" s="18">
        <v>43</v>
      </c>
      <c r="F7" s="18"/>
      <c r="G7" s="8">
        <f t="shared" si="1"/>
        <v>64500</v>
      </c>
      <c r="H7" s="27">
        <f t="shared" si="0"/>
        <v>2.2313127556712535E-3</v>
      </c>
      <c r="I7" s="18">
        <v>1.2</v>
      </c>
      <c r="J7" s="18"/>
      <c r="K7" s="18"/>
      <c r="L7" s="18"/>
      <c r="M7" s="18" t="s">
        <v>880</v>
      </c>
    </row>
    <row r="8" spans="1:13" ht="15" customHeight="1" x14ac:dyDescent="0.2">
      <c r="A8" s="18">
        <v>4162</v>
      </c>
      <c r="B8" s="18" t="s">
        <v>106</v>
      </c>
      <c r="C8" s="18">
        <v>722.1</v>
      </c>
      <c r="D8" s="18">
        <v>300</v>
      </c>
      <c r="E8" s="18">
        <v>38</v>
      </c>
      <c r="F8" s="18">
        <v>245</v>
      </c>
      <c r="G8" s="8">
        <f t="shared" si="1"/>
        <v>11645</v>
      </c>
      <c r="H8" s="27">
        <f t="shared" si="0"/>
        <v>3.3236393851267137E-3</v>
      </c>
      <c r="I8" s="18">
        <v>2.4</v>
      </c>
      <c r="J8" s="18"/>
      <c r="K8" s="18"/>
      <c r="L8" s="18"/>
      <c r="M8" s="18"/>
    </row>
    <row r="9" spans="1:13" ht="15" customHeight="1" x14ac:dyDescent="0.2">
      <c r="A9" s="18">
        <v>4147</v>
      </c>
      <c r="B9" s="18" t="s">
        <v>305</v>
      </c>
      <c r="C9" s="18">
        <v>254.8</v>
      </c>
      <c r="D9" s="18">
        <v>250</v>
      </c>
      <c r="E9" s="18">
        <v>12</v>
      </c>
      <c r="F9" s="18"/>
      <c r="G9" s="8">
        <f t="shared" si="1"/>
        <v>3000</v>
      </c>
      <c r="H9" s="27">
        <f t="shared" si="0"/>
        <v>4.7095761381475663E-3</v>
      </c>
      <c r="I9" s="18">
        <v>1.2</v>
      </c>
      <c r="J9" s="18"/>
      <c r="K9" s="18"/>
      <c r="L9" s="18"/>
      <c r="M9" s="18"/>
    </row>
    <row r="10" spans="1:13" ht="15" customHeight="1" x14ac:dyDescent="0.2">
      <c r="A10" s="18">
        <v>4107</v>
      </c>
      <c r="B10" s="18" t="s">
        <v>323</v>
      </c>
      <c r="C10" s="18">
        <v>462.1</v>
      </c>
      <c r="D10" s="18">
        <v>500</v>
      </c>
      <c r="E10" s="18">
        <v>50</v>
      </c>
      <c r="F10" s="18">
        <v>280</v>
      </c>
      <c r="G10" s="8">
        <f t="shared" si="1"/>
        <v>25280</v>
      </c>
      <c r="H10" s="27">
        <f t="shared" si="0"/>
        <v>2.4533856722276739E-3</v>
      </c>
      <c r="I10" s="18">
        <v>1</v>
      </c>
      <c r="J10" s="18">
        <v>4.0999999999999996</v>
      </c>
      <c r="K10" s="18"/>
      <c r="L10" s="18">
        <v>54.5</v>
      </c>
      <c r="M10" s="18"/>
    </row>
    <row r="11" spans="1:13" ht="15" customHeight="1" x14ac:dyDescent="0.2">
      <c r="A11" s="18">
        <v>4102</v>
      </c>
      <c r="B11" s="18" t="s">
        <v>402</v>
      </c>
      <c r="C11" s="18">
        <v>570.79999999999995</v>
      </c>
      <c r="D11" s="18">
        <v>500</v>
      </c>
      <c r="E11" s="18">
        <v>43</v>
      </c>
      <c r="F11" s="18"/>
      <c r="G11" s="8">
        <f t="shared" si="1"/>
        <v>21500</v>
      </c>
      <c r="H11" s="27">
        <f t="shared" si="0"/>
        <v>1.4714775246926024E-2</v>
      </c>
      <c r="I11" s="18">
        <v>7.3</v>
      </c>
      <c r="J11" s="18">
        <v>5.3</v>
      </c>
      <c r="K11" s="18">
        <v>5.6</v>
      </c>
      <c r="L11" s="18">
        <v>74.7</v>
      </c>
      <c r="M11" s="18"/>
    </row>
    <row r="12" spans="1:13" ht="15" customHeight="1" x14ac:dyDescent="0.2">
      <c r="A12" s="18">
        <v>4148</v>
      </c>
      <c r="B12" s="18" t="s">
        <v>881</v>
      </c>
      <c r="C12" s="18">
        <v>280.10000000000002</v>
      </c>
      <c r="D12" s="18">
        <v>300</v>
      </c>
      <c r="E12" s="18">
        <v>19</v>
      </c>
      <c r="F12" s="18">
        <v>100</v>
      </c>
      <c r="G12" s="8">
        <f t="shared" si="1"/>
        <v>5800</v>
      </c>
      <c r="H12" s="27">
        <f t="shared" si="0"/>
        <v>7.8543377365226704E-3</v>
      </c>
      <c r="I12" s="18">
        <v>2.2000000000000002</v>
      </c>
      <c r="J12" s="18"/>
      <c r="K12" s="18"/>
      <c r="L12" s="18"/>
      <c r="M12" s="18"/>
    </row>
    <row r="13" spans="1:13" ht="15" customHeight="1" x14ac:dyDescent="0.2">
      <c r="A13" s="18">
        <v>4179</v>
      </c>
      <c r="B13" s="18" t="s">
        <v>882</v>
      </c>
      <c r="C13" s="18">
        <v>94.6</v>
      </c>
      <c r="D13" s="18">
        <v>5000</v>
      </c>
      <c r="E13" s="18">
        <v>8</v>
      </c>
      <c r="F13" s="18"/>
      <c r="G13" s="8">
        <f t="shared" si="1"/>
        <v>40000</v>
      </c>
      <c r="H13" s="27">
        <f t="shared" si="0"/>
        <v>0</v>
      </c>
      <c r="I13" s="18"/>
      <c r="J13" s="18"/>
      <c r="K13" s="18"/>
      <c r="L13" s="18"/>
      <c r="M13" s="18"/>
    </row>
    <row r="14" spans="1:13" ht="15" customHeight="1" x14ac:dyDescent="0.2">
      <c r="A14" s="18">
        <v>4275</v>
      </c>
      <c r="B14" s="18"/>
      <c r="C14" s="18">
        <v>50.2</v>
      </c>
      <c r="D14" s="18">
        <v>4000</v>
      </c>
      <c r="E14" s="18">
        <v>2</v>
      </c>
      <c r="F14" s="18"/>
      <c r="G14" s="8">
        <f t="shared" si="1"/>
        <v>8000</v>
      </c>
      <c r="H14" s="27">
        <f t="shared" si="0"/>
        <v>0</v>
      </c>
      <c r="I14" s="18"/>
      <c r="J14" s="18"/>
      <c r="K14" s="18"/>
      <c r="L14" s="18"/>
      <c r="M14" s="18"/>
    </row>
    <row r="15" spans="1:13" ht="15" customHeight="1" x14ac:dyDescent="0.2">
      <c r="A15" s="18">
        <v>4154</v>
      </c>
      <c r="B15" s="18" t="s">
        <v>871</v>
      </c>
      <c r="C15" s="18"/>
      <c r="D15" s="18">
        <v>82</v>
      </c>
      <c r="E15" s="18">
        <v>1</v>
      </c>
      <c r="F15" s="18"/>
      <c r="G15" s="8">
        <f t="shared" si="1"/>
        <v>82</v>
      </c>
      <c r="H15" s="27">
        <f t="shared" si="0"/>
        <v>0</v>
      </c>
      <c r="I15" s="18"/>
      <c r="J15" s="18"/>
      <c r="K15" s="18"/>
      <c r="L15" s="18"/>
      <c r="M15" s="18"/>
    </row>
    <row r="16" spans="1:13" ht="15" customHeight="1" x14ac:dyDescent="0.2">
      <c r="A16" s="18">
        <v>4179</v>
      </c>
      <c r="B16" s="18" t="s">
        <v>882</v>
      </c>
      <c r="C16" s="18">
        <v>592.9</v>
      </c>
      <c r="D16" s="18">
        <v>5000</v>
      </c>
      <c r="E16" s="18">
        <v>43</v>
      </c>
      <c r="F16" s="18"/>
      <c r="G16" s="8">
        <f t="shared" si="1"/>
        <v>215000</v>
      </c>
      <c r="H16" s="27">
        <f t="shared" si="0"/>
        <v>5.0598751897453194E-3</v>
      </c>
      <c r="I16" s="18">
        <v>3</v>
      </c>
      <c r="J16" s="18"/>
      <c r="K16" s="18"/>
      <c r="L16" s="18"/>
      <c r="M16" s="18"/>
    </row>
    <row r="17" spans="1:13" ht="15" customHeight="1" x14ac:dyDescent="0.2">
      <c r="A17" s="18">
        <v>4153</v>
      </c>
      <c r="B17" s="18" t="s">
        <v>879</v>
      </c>
      <c r="C17" s="18">
        <v>41</v>
      </c>
      <c r="D17" s="18">
        <v>1500</v>
      </c>
      <c r="E17" s="18">
        <v>6</v>
      </c>
      <c r="F17" s="18">
        <v>800</v>
      </c>
      <c r="G17" s="8">
        <f t="shared" si="1"/>
        <v>9800</v>
      </c>
      <c r="H17" s="27">
        <f t="shared" si="0"/>
        <v>0</v>
      </c>
      <c r="I17" s="18"/>
      <c r="J17" s="18"/>
      <c r="K17" s="18"/>
      <c r="L17" s="18"/>
      <c r="M17" s="18"/>
    </row>
    <row r="18" spans="1:13" ht="15" customHeight="1" x14ac:dyDescent="0.2">
      <c r="A18" s="18">
        <v>4049</v>
      </c>
      <c r="B18" s="18" t="s">
        <v>46</v>
      </c>
      <c r="C18" s="18">
        <v>28</v>
      </c>
      <c r="D18" s="18">
        <v>200</v>
      </c>
      <c r="E18" s="18">
        <v>11</v>
      </c>
      <c r="F18" s="18">
        <v>130</v>
      </c>
      <c r="G18" s="8">
        <f t="shared" si="1"/>
        <v>2330</v>
      </c>
      <c r="H18" s="27">
        <f t="shared" si="0"/>
        <v>6.0714285714285714E-2</v>
      </c>
      <c r="I18" s="18">
        <v>1.7</v>
      </c>
      <c r="J18" s="18"/>
      <c r="K18" s="18"/>
      <c r="L18" s="18"/>
      <c r="M18" s="18"/>
    </row>
    <row r="19" spans="1:13" ht="15" customHeight="1" x14ac:dyDescent="0.2">
      <c r="A19" s="18">
        <v>4047</v>
      </c>
      <c r="B19" s="18" t="s">
        <v>746</v>
      </c>
      <c r="C19" s="18">
        <v>227.3</v>
      </c>
      <c r="D19" s="18">
        <v>1800</v>
      </c>
      <c r="E19" s="18">
        <v>38</v>
      </c>
      <c r="F19" s="18"/>
      <c r="G19" s="8">
        <f t="shared" si="1"/>
        <v>68400</v>
      </c>
      <c r="H19" s="27">
        <f t="shared" si="0"/>
        <v>1.2758468983721953E-2</v>
      </c>
      <c r="I19" s="18">
        <v>2.9</v>
      </c>
      <c r="J19" s="18"/>
      <c r="K19" s="18"/>
      <c r="L19" s="18"/>
      <c r="M19" s="18"/>
    </row>
    <row r="20" spans="1:13" ht="15" customHeight="1" x14ac:dyDescent="0.2">
      <c r="A20" s="18">
        <v>4154</v>
      </c>
      <c r="B20" s="18" t="s">
        <v>871</v>
      </c>
      <c r="C20" s="18"/>
      <c r="D20" s="18"/>
      <c r="E20" s="18"/>
      <c r="F20" s="18">
        <v>18</v>
      </c>
      <c r="G20" s="8">
        <f t="shared" si="1"/>
        <v>18</v>
      </c>
      <c r="H20" s="27">
        <f t="shared" si="0"/>
        <v>0</v>
      </c>
      <c r="I20" s="18"/>
      <c r="J20" s="18"/>
      <c r="K20" s="18"/>
      <c r="L20" s="18"/>
      <c r="M20" s="18"/>
    </row>
    <row r="21" spans="1:13" ht="15" customHeight="1" x14ac:dyDescent="0.2">
      <c r="A21" s="18">
        <v>4139</v>
      </c>
      <c r="B21" s="18" t="s">
        <v>883</v>
      </c>
      <c r="C21" s="18">
        <v>441.5</v>
      </c>
      <c r="D21" s="18">
        <v>300</v>
      </c>
      <c r="E21" s="18">
        <v>35</v>
      </c>
      <c r="F21" s="18">
        <v>170</v>
      </c>
      <c r="G21" s="8">
        <f t="shared" si="1"/>
        <v>10670</v>
      </c>
      <c r="H21" s="27">
        <f t="shared" si="0"/>
        <v>1.5628539071347678E-2</v>
      </c>
      <c r="I21" s="18">
        <v>6.9</v>
      </c>
      <c r="J21" s="18"/>
      <c r="K21" s="18"/>
      <c r="L21" s="18"/>
      <c r="M21" s="18"/>
    </row>
    <row r="22" spans="1:13" ht="15" customHeight="1" x14ac:dyDescent="0.2">
      <c r="A22" s="18">
        <v>4048</v>
      </c>
      <c r="B22" s="18" t="s">
        <v>884</v>
      </c>
      <c r="C22" s="18">
        <v>345.9</v>
      </c>
      <c r="D22" s="18">
        <v>200</v>
      </c>
      <c r="E22" s="18">
        <v>32</v>
      </c>
      <c r="F22" s="18">
        <v>30</v>
      </c>
      <c r="G22" s="8">
        <f t="shared" si="1"/>
        <v>6430</v>
      </c>
      <c r="H22" s="27">
        <f t="shared" si="0"/>
        <v>6.9384215091066789E-3</v>
      </c>
      <c r="I22" s="18">
        <v>2.4</v>
      </c>
      <c r="J22" s="18">
        <v>3.9</v>
      </c>
      <c r="K22" s="18"/>
      <c r="L22" s="18"/>
      <c r="M22" s="18"/>
    </row>
    <row r="23" spans="1:13" ht="15" customHeight="1" x14ac:dyDescent="0.2">
      <c r="A23" s="18">
        <v>4067</v>
      </c>
      <c r="B23" s="18" t="s">
        <v>885</v>
      </c>
      <c r="C23" s="18">
        <v>211.5</v>
      </c>
      <c r="D23" s="18">
        <v>500</v>
      </c>
      <c r="E23" s="18">
        <v>20</v>
      </c>
      <c r="F23" s="18"/>
      <c r="G23" s="8">
        <f t="shared" si="1"/>
        <v>10000</v>
      </c>
      <c r="H23" s="27">
        <f t="shared" si="0"/>
        <v>1.4657210401891253E-2</v>
      </c>
      <c r="I23" s="18">
        <v>3.1</v>
      </c>
      <c r="J23" s="18">
        <v>8.5</v>
      </c>
      <c r="K23" s="18">
        <v>5.0999999999999996</v>
      </c>
      <c r="L23" s="18"/>
      <c r="M23" s="18"/>
    </row>
    <row r="24" spans="1:13" x14ac:dyDescent="0.2">
      <c r="A24" s="18">
        <v>4213</v>
      </c>
      <c r="B24" s="18" t="s">
        <v>282</v>
      </c>
      <c r="C24" s="18">
        <v>180.6</v>
      </c>
      <c r="D24" s="18">
        <v>4000</v>
      </c>
      <c r="E24" s="18">
        <v>23</v>
      </c>
      <c r="F24" s="18"/>
      <c r="G24" s="8">
        <f t="shared" si="1"/>
        <v>92000</v>
      </c>
      <c r="H24" s="27">
        <f t="shared" si="0"/>
        <v>1.3842746400885937E-2</v>
      </c>
      <c r="I24" s="18">
        <v>2.5</v>
      </c>
      <c r="J24" s="18"/>
      <c r="K24" s="18"/>
      <c r="L24" s="18"/>
      <c r="M24" s="18"/>
    </row>
    <row r="25" spans="1:13" x14ac:dyDescent="0.2">
      <c r="A25" s="18">
        <v>4275</v>
      </c>
      <c r="B25" s="18" t="s">
        <v>771</v>
      </c>
      <c r="C25" s="18">
        <v>154</v>
      </c>
      <c r="D25" s="18">
        <v>4000</v>
      </c>
      <c r="E25" s="18">
        <v>9</v>
      </c>
      <c r="F25" s="18"/>
      <c r="G25" s="8">
        <f t="shared" si="1"/>
        <v>36000</v>
      </c>
      <c r="H25" s="27">
        <f t="shared" si="0"/>
        <v>5.5194805194805192E-2</v>
      </c>
      <c r="I25" s="18">
        <v>8.5</v>
      </c>
      <c r="J25" s="18"/>
      <c r="K25" s="18"/>
      <c r="L25" s="18"/>
      <c r="M25" s="18"/>
    </row>
    <row r="26" spans="1:13" x14ac:dyDescent="0.2">
      <c r="A26" s="18">
        <v>4012</v>
      </c>
      <c r="B26" s="18" t="s">
        <v>434</v>
      </c>
      <c r="C26" s="18">
        <v>250.4</v>
      </c>
      <c r="D26" s="18">
        <v>500</v>
      </c>
      <c r="E26" s="18">
        <v>15</v>
      </c>
      <c r="F26" s="18">
        <v>227</v>
      </c>
      <c r="G26" s="8">
        <f t="shared" si="1"/>
        <v>7727</v>
      </c>
      <c r="H26" s="27">
        <f t="shared" si="0"/>
        <v>6.6254416961130744E-3</v>
      </c>
      <c r="I26" s="18">
        <v>1.5</v>
      </c>
      <c r="J26" s="18">
        <v>2</v>
      </c>
      <c r="K26" s="18"/>
      <c r="L26" s="18">
        <v>24</v>
      </c>
      <c r="M26" s="18"/>
    </row>
    <row r="27" spans="1:13" x14ac:dyDescent="0.2">
      <c r="A27" s="18">
        <v>4013</v>
      </c>
      <c r="B27" s="18" t="s">
        <v>263</v>
      </c>
      <c r="C27" s="18">
        <v>138.5</v>
      </c>
      <c r="D27" s="18">
        <v>500</v>
      </c>
      <c r="E27" s="18">
        <v>12</v>
      </c>
      <c r="F27" s="18">
        <v>420</v>
      </c>
      <c r="G27" s="8">
        <f t="shared" si="1"/>
        <v>6420</v>
      </c>
      <c r="H27" s="27">
        <f t="shared" si="0"/>
        <v>2.2651006711409398E-2</v>
      </c>
      <c r="I27" s="18">
        <v>2.7</v>
      </c>
      <c r="J27" s="18">
        <v>4.3</v>
      </c>
      <c r="K27" s="18"/>
      <c r="L27" s="18">
        <v>19.3</v>
      </c>
      <c r="M27" s="18"/>
    </row>
    <row r="28" spans="1:13" ht="15" customHeight="1" x14ac:dyDescent="0.2">
      <c r="A28" s="18">
        <v>4112</v>
      </c>
      <c r="B28" s="18" t="s">
        <v>366</v>
      </c>
      <c r="C28" s="18">
        <v>691.3</v>
      </c>
      <c r="D28" s="18">
        <v>500</v>
      </c>
      <c r="E28" s="18">
        <v>56</v>
      </c>
      <c r="F28" s="18"/>
      <c r="G28" s="8">
        <f t="shared" si="1"/>
        <v>28000</v>
      </c>
      <c r="H28" s="27">
        <f t="shared" si="0"/>
        <v>1.5714768502872595E-2</v>
      </c>
      <c r="I28" s="18">
        <v>9.3000000000000007</v>
      </c>
      <c r="J28" s="18">
        <v>12.4</v>
      </c>
      <c r="K28" s="18"/>
      <c r="L28" s="18">
        <v>99.5</v>
      </c>
      <c r="M28" s="18"/>
    </row>
    <row r="29" spans="1:13" x14ac:dyDescent="0.2">
      <c r="A29" s="18">
        <v>4179</v>
      </c>
      <c r="B29" s="18" t="s">
        <v>882</v>
      </c>
      <c r="C29" s="18">
        <v>616.20000000000005</v>
      </c>
      <c r="D29" s="18">
        <v>5000</v>
      </c>
      <c r="E29" s="18">
        <v>47</v>
      </c>
      <c r="F29" s="18"/>
      <c r="G29" s="8">
        <f t="shared" si="1"/>
        <v>235000</v>
      </c>
      <c r="H29" s="27">
        <f t="shared" si="0"/>
        <v>1.0548523206751054E-2</v>
      </c>
      <c r="I29" s="18">
        <v>6.5</v>
      </c>
      <c r="J29" s="18"/>
      <c r="K29" s="18"/>
      <c r="L29" s="18"/>
      <c r="M29" s="18"/>
    </row>
    <row r="30" spans="1:13" x14ac:dyDescent="0.2">
      <c r="A30" s="18">
        <v>4213</v>
      </c>
      <c r="B30" s="18" t="s">
        <v>282</v>
      </c>
      <c r="C30" s="18">
        <v>474.8</v>
      </c>
      <c r="D30" s="18">
        <v>4000</v>
      </c>
      <c r="E30" s="18">
        <v>60</v>
      </c>
      <c r="F30" s="18"/>
      <c r="G30" s="8">
        <f t="shared" si="1"/>
        <v>240000</v>
      </c>
      <c r="H30" s="27">
        <f t="shared" si="0"/>
        <v>2.527379949452401E-3</v>
      </c>
      <c r="I30" s="18">
        <v>1.2</v>
      </c>
      <c r="J30" s="18"/>
      <c r="K30" s="18"/>
      <c r="L30" s="18"/>
      <c r="M30" s="18"/>
    </row>
    <row r="31" spans="1:13" x14ac:dyDescent="0.2">
      <c r="A31" s="18">
        <v>4112</v>
      </c>
      <c r="B31" s="18" t="s">
        <v>366</v>
      </c>
      <c r="C31" s="18">
        <v>95.4</v>
      </c>
      <c r="D31" s="18">
        <v>500</v>
      </c>
      <c r="E31" s="18">
        <v>6</v>
      </c>
      <c r="F31" s="18">
        <v>805</v>
      </c>
      <c r="G31" s="8">
        <f t="shared" si="1"/>
        <v>3805</v>
      </c>
      <c r="H31" s="27">
        <f t="shared" si="0"/>
        <v>5.9241706161137437E-3</v>
      </c>
      <c r="I31" s="18">
        <v>0.5</v>
      </c>
      <c r="J31" s="18">
        <v>0.7</v>
      </c>
      <c r="K31" s="18"/>
      <c r="L31" s="18">
        <v>11</v>
      </c>
      <c r="M31" s="18"/>
    </row>
    <row r="32" spans="1:13" x14ac:dyDescent="0.2">
      <c r="A32" s="18">
        <v>4047</v>
      </c>
      <c r="B32" s="18" t="s">
        <v>763</v>
      </c>
      <c r="C32" s="18">
        <v>222.8</v>
      </c>
      <c r="D32" s="18">
        <v>1800</v>
      </c>
      <c r="E32" s="18">
        <v>33</v>
      </c>
      <c r="F32" s="18"/>
      <c r="G32" s="8">
        <f t="shared" si="1"/>
        <v>59400</v>
      </c>
      <c r="H32" s="27">
        <f t="shared" si="0"/>
        <v>0</v>
      </c>
      <c r="I32" s="18"/>
      <c r="J32" s="18">
        <v>2.8</v>
      </c>
      <c r="K32" s="18"/>
      <c r="L32" s="18"/>
      <c r="M32" s="18"/>
    </row>
    <row r="33" spans="1:13" x14ac:dyDescent="0.2">
      <c r="A33" s="18">
        <v>4067</v>
      </c>
      <c r="B33" s="18" t="s">
        <v>886</v>
      </c>
      <c r="C33" s="18">
        <v>135</v>
      </c>
      <c r="D33" s="18">
        <v>500</v>
      </c>
      <c r="E33" s="18">
        <v>10</v>
      </c>
      <c r="F33" s="18">
        <v>100</v>
      </c>
      <c r="G33" s="8">
        <f t="shared" si="1"/>
        <v>5100</v>
      </c>
      <c r="H33" s="27">
        <f t="shared" si="0"/>
        <v>1.7777777777777778E-2</v>
      </c>
      <c r="I33" s="18">
        <v>2.4</v>
      </c>
      <c r="J33" s="18">
        <v>3</v>
      </c>
      <c r="K33" s="18">
        <v>12.6</v>
      </c>
      <c r="L33" s="18"/>
      <c r="M33" s="18" t="s">
        <v>887</v>
      </c>
    </row>
    <row r="34" spans="1:13" x14ac:dyDescent="0.2">
      <c r="A34" s="18">
        <v>4018</v>
      </c>
      <c r="B34" s="18" t="s">
        <v>207</v>
      </c>
      <c r="C34" s="18">
        <v>540.4</v>
      </c>
      <c r="D34" s="18">
        <v>500</v>
      </c>
      <c r="E34" s="18">
        <v>52</v>
      </c>
      <c r="F34" s="18"/>
      <c r="G34" s="8">
        <f t="shared" si="1"/>
        <v>26000</v>
      </c>
      <c r="H34" s="27">
        <f t="shared" si="0"/>
        <v>2.3917995444191344E-2</v>
      </c>
      <c r="I34" s="18">
        <v>12.6</v>
      </c>
      <c r="J34" s="18">
        <v>10.8</v>
      </c>
      <c r="K34" s="18"/>
      <c r="L34" s="18">
        <v>13.6</v>
      </c>
      <c r="M34" s="18"/>
    </row>
    <row r="35" spans="1:13" x14ac:dyDescent="0.2">
      <c r="A35" s="18">
        <v>4154</v>
      </c>
      <c r="B35" s="18" t="s">
        <v>871</v>
      </c>
      <c r="C35" s="18"/>
      <c r="D35" s="18">
        <v>100</v>
      </c>
      <c r="E35" s="18">
        <v>2</v>
      </c>
      <c r="F35" s="18"/>
      <c r="G35" s="8">
        <f t="shared" si="1"/>
        <v>200</v>
      </c>
      <c r="H35" s="27">
        <f t="shared" si="0"/>
        <v>0</v>
      </c>
      <c r="I35" s="18"/>
      <c r="J35" s="18"/>
      <c r="K35" s="18"/>
      <c r="L35" s="18">
        <v>3.9</v>
      </c>
      <c r="M35" s="18"/>
    </row>
    <row r="36" spans="1:13" x14ac:dyDescent="0.2">
      <c r="A36" s="18">
        <v>4156</v>
      </c>
      <c r="B36" s="18" t="s">
        <v>789</v>
      </c>
      <c r="C36" s="18">
        <v>40.299999999999997</v>
      </c>
      <c r="D36" s="18">
        <v>2000</v>
      </c>
      <c r="E36" s="18">
        <v>1</v>
      </c>
      <c r="F36" s="18">
        <v>1700</v>
      </c>
      <c r="G36" s="8">
        <f t="shared" si="1"/>
        <v>3700</v>
      </c>
      <c r="H36" s="27">
        <f>IFERROR(I36/(C36-L36)*100%,0)</f>
        <v>0.13399503722084369</v>
      </c>
      <c r="I36" s="18">
        <v>5.4</v>
      </c>
      <c r="J36" s="18"/>
      <c r="K36" s="18"/>
      <c r="L36" s="18"/>
      <c r="M36" s="18"/>
    </row>
    <row r="37" spans="1:13" x14ac:dyDescent="0.2">
      <c r="A37" s="18">
        <v>4179</v>
      </c>
      <c r="B37" s="18" t="s">
        <v>882</v>
      </c>
      <c r="C37" s="18">
        <v>381</v>
      </c>
      <c r="D37" s="18">
        <v>5000</v>
      </c>
      <c r="E37" s="18">
        <v>27</v>
      </c>
      <c r="F37" s="18">
        <v>3400</v>
      </c>
      <c r="G37" s="8">
        <f t="shared" si="1"/>
        <v>138400</v>
      </c>
      <c r="H37" s="27">
        <f t="shared" ref="H37:H100" si="2">IFERROR(I37/(C37-L37)*100%,0)</f>
        <v>2.0997375328083989E-3</v>
      </c>
      <c r="I37" s="18">
        <v>0.8</v>
      </c>
      <c r="J37" s="18"/>
      <c r="K37" s="18"/>
      <c r="L37" s="18"/>
      <c r="M37" s="18"/>
    </row>
    <row r="38" spans="1:13" x14ac:dyDescent="0.2">
      <c r="A38" s="18">
        <v>4117</v>
      </c>
      <c r="B38" s="18" t="s">
        <v>888</v>
      </c>
      <c r="C38" s="18">
        <v>58</v>
      </c>
      <c r="D38" s="18">
        <v>200</v>
      </c>
      <c r="E38" s="18">
        <v>4</v>
      </c>
      <c r="F38" s="18">
        <v>115</v>
      </c>
      <c r="G38" s="8">
        <f t="shared" si="1"/>
        <v>915</v>
      </c>
      <c r="H38" s="27">
        <f t="shared" si="2"/>
        <v>0.17241379310344829</v>
      </c>
      <c r="I38" s="18">
        <v>10</v>
      </c>
      <c r="J38" s="18"/>
      <c r="K38" s="18"/>
      <c r="L38" s="18"/>
      <c r="M38" s="18"/>
    </row>
    <row r="39" spans="1:13" x14ac:dyDescent="0.2">
      <c r="A39" s="18">
        <v>4317</v>
      </c>
      <c r="B39" s="18" t="s">
        <v>620</v>
      </c>
      <c r="C39" s="18">
        <v>20.5</v>
      </c>
      <c r="D39" s="18">
        <v>600</v>
      </c>
      <c r="E39" s="18">
        <v>1</v>
      </c>
      <c r="F39" s="18"/>
      <c r="G39" s="8">
        <f t="shared" si="1"/>
        <v>600</v>
      </c>
      <c r="H39" s="27">
        <f t="shared" si="2"/>
        <v>3.9024390243902439E-2</v>
      </c>
      <c r="I39" s="18">
        <v>0.8</v>
      </c>
      <c r="J39" s="18"/>
      <c r="K39" s="18"/>
      <c r="L39" s="18"/>
      <c r="M39" s="18"/>
    </row>
    <row r="40" spans="1:13" x14ac:dyDescent="0.2">
      <c r="A40" s="18">
        <v>4071</v>
      </c>
      <c r="B40" s="18" t="s">
        <v>480</v>
      </c>
      <c r="C40" s="18">
        <v>183.6</v>
      </c>
      <c r="D40" s="18">
        <v>500</v>
      </c>
      <c r="E40" s="18">
        <v>12</v>
      </c>
      <c r="F40" s="18"/>
      <c r="G40" s="8">
        <f t="shared" si="1"/>
        <v>6000</v>
      </c>
      <c r="H40" s="27">
        <f t="shared" si="2"/>
        <v>1.4705882352941178E-2</v>
      </c>
      <c r="I40" s="18">
        <v>2.7</v>
      </c>
      <c r="J40" s="18"/>
      <c r="K40" s="18">
        <v>8.1999999999999993</v>
      </c>
      <c r="L40" s="18"/>
      <c r="M40" s="18"/>
    </row>
    <row r="41" spans="1:13" x14ac:dyDescent="0.2">
      <c r="A41" s="18">
        <v>4088</v>
      </c>
      <c r="B41" s="18" t="s">
        <v>889</v>
      </c>
      <c r="C41" s="18">
        <v>204.3</v>
      </c>
      <c r="D41" s="18">
        <v>250</v>
      </c>
      <c r="E41" s="18">
        <v>17</v>
      </c>
      <c r="F41" s="18"/>
      <c r="G41" s="8">
        <f t="shared" si="1"/>
        <v>4250</v>
      </c>
      <c r="H41" s="27">
        <f t="shared" si="2"/>
        <v>6.7879980324643388E-2</v>
      </c>
      <c r="I41" s="18">
        <v>13.8</v>
      </c>
      <c r="J41" s="18"/>
      <c r="K41" s="18"/>
      <c r="L41" s="18">
        <v>1</v>
      </c>
      <c r="M41" s="18"/>
    </row>
    <row r="42" spans="1:13" x14ac:dyDescent="0.2">
      <c r="A42" s="18">
        <v>4213</v>
      </c>
      <c r="B42" s="18" t="s">
        <v>282</v>
      </c>
      <c r="C42" s="18">
        <v>68</v>
      </c>
      <c r="D42" s="18">
        <v>4000</v>
      </c>
      <c r="E42" s="18">
        <v>6</v>
      </c>
      <c r="F42" s="18">
        <v>2390</v>
      </c>
      <c r="G42" s="8">
        <f t="shared" si="1"/>
        <v>26390</v>
      </c>
      <c r="H42" s="27">
        <f t="shared" si="2"/>
        <v>2.9411764705882353E-3</v>
      </c>
      <c r="I42" s="18">
        <v>0.2</v>
      </c>
      <c r="J42" s="18"/>
      <c r="K42" s="18"/>
      <c r="L42" s="18"/>
      <c r="M42" s="18"/>
    </row>
    <row r="43" spans="1:13" x14ac:dyDescent="0.2">
      <c r="A43" s="18">
        <v>3822</v>
      </c>
      <c r="B43" s="18" t="s">
        <v>104</v>
      </c>
      <c r="C43" s="18">
        <v>98.5</v>
      </c>
      <c r="D43" s="18">
        <v>2000</v>
      </c>
      <c r="E43" s="18">
        <v>11</v>
      </c>
      <c r="F43" s="18"/>
      <c r="G43" s="8">
        <f t="shared" si="1"/>
        <v>22000</v>
      </c>
      <c r="H43" s="27">
        <f t="shared" si="2"/>
        <v>5.0761421319796954E-2</v>
      </c>
      <c r="I43" s="18">
        <v>5</v>
      </c>
      <c r="J43" s="18"/>
      <c r="K43" s="18"/>
      <c r="L43" s="18"/>
      <c r="M43" s="18"/>
    </row>
    <row r="44" spans="1:13" x14ac:dyDescent="0.2">
      <c r="A44" s="18">
        <v>4018</v>
      </c>
      <c r="B44" s="18" t="s">
        <v>207</v>
      </c>
      <c r="C44" s="18">
        <v>666</v>
      </c>
      <c r="D44" s="18">
        <v>500</v>
      </c>
      <c r="E44" s="18">
        <v>75</v>
      </c>
      <c r="F44" s="18"/>
      <c r="G44" s="8">
        <f t="shared" si="1"/>
        <v>37500</v>
      </c>
      <c r="H44" s="27">
        <f t="shared" si="2"/>
        <v>1.1272390364422482E-2</v>
      </c>
      <c r="I44" s="18">
        <v>7.3</v>
      </c>
      <c r="J44" s="18">
        <v>13.6</v>
      </c>
      <c r="K44" s="18">
        <v>6.3</v>
      </c>
      <c r="L44" s="18">
        <v>18.399999999999999</v>
      </c>
      <c r="M44" s="18"/>
    </row>
    <row r="45" spans="1:13" x14ac:dyDescent="0.2">
      <c r="A45" s="18">
        <v>4047</v>
      </c>
      <c r="B45" s="18" t="s">
        <v>763</v>
      </c>
      <c r="C45" s="18">
        <v>231</v>
      </c>
      <c r="D45" s="18">
        <v>1800</v>
      </c>
      <c r="E45" s="18">
        <v>33</v>
      </c>
      <c r="F45" s="18">
        <v>1400</v>
      </c>
      <c r="G45" s="8">
        <f t="shared" si="1"/>
        <v>60800</v>
      </c>
      <c r="H45" s="27">
        <f t="shared" si="2"/>
        <v>1.6450216450216451E-2</v>
      </c>
      <c r="I45" s="18">
        <v>3.8</v>
      </c>
      <c r="J45" s="18"/>
      <c r="K45" s="18"/>
      <c r="L45" s="18"/>
      <c r="M45" s="18"/>
    </row>
    <row r="46" spans="1:13" x14ac:dyDescent="0.2">
      <c r="A46" s="18">
        <v>3723</v>
      </c>
      <c r="B46" s="18" t="s">
        <v>395</v>
      </c>
      <c r="C46" s="18"/>
      <c r="D46" s="18">
        <v>2000</v>
      </c>
      <c r="E46" s="18">
        <v>3</v>
      </c>
      <c r="F46" s="18"/>
      <c r="G46" s="8">
        <f t="shared" si="1"/>
        <v>6000</v>
      </c>
      <c r="H46" s="27">
        <f t="shared" si="2"/>
        <v>0</v>
      </c>
      <c r="I46" s="18">
        <v>0.3</v>
      </c>
      <c r="J46" s="18"/>
      <c r="K46" s="18"/>
      <c r="L46" s="18"/>
      <c r="M46" s="18"/>
    </row>
    <row r="47" spans="1:13" x14ac:dyDescent="0.2">
      <c r="A47" s="18">
        <v>4074</v>
      </c>
      <c r="B47" s="18" t="s">
        <v>199</v>
      </c>
      <c r="C47" s="18">
        <v>227</v>
      </c>
      <c r="D47" s="18">
        <v>800</v>
      </c>
      <c r="E47" s="18">
        <v>30</v>
      </c>
      <c r="F47" s="18">
        <v>200</v>
      </c>
      <c r="G47" s="8">
        <f t="shared" si="1"/>
        <v>24200</v>
      </c>
      <c r="H47" s="27">
        <f t="shared" si="2"/>
        <v>9.1836734693877559E-3</v>
      </c>
      <c r="I47" s="18">
        <v>1.8</v>
      </c>
      <c r="J47" s="18"/>
      <c r="K47" s="18"/>
      <c r="L47" s="18">
        <v>31</v>
      </c>
      <c r="M47" s="18"/>
    </row>
    <row r="48" spans="1:13" x14ac:dyDescent="0.2">
      <c r="A48" s="18">
        <v>4272</v>
      </c>
      <c r="B48" s="18" t="s">
        <v>890</v>
      </c>
      <c r="C48" s="18">
        <v>91</v>
      </c>
      <c r="D48" s="18">
        <v>700</v>
      </c>
      <c r="E48" s="18">
        <v>8</v>
      </c>
      <c r="F48" s="18">
        <v>465</v>
      </c>
      <c r="G48" s="8">
        <f t="shared" si="1"/>
        <v>6065</v>
      </c>
      <c r="H48" s="27">
        <f t="shared" si="2"/>
        <v>5.1480051480051478E-3</v>
      </c>
      <c r="I48" s="18">
        <v>0.4</v>
      </c>
      <c r="J48" s="18"/>
      <c r="K48" s="18"/>
      <c r="L48" s="18">
        <v>13.3</v>
      </c>
      <c r="M48" s="18"/>
    </row>
    <row r="49" spans="1:13" x14ac:dyDescent="0.2">
      <c r="A49" s="18">
        <v>4154</v>
      </c>
      <c r="B49" s="18" t="s">
        <v>871</v>
      </c>
      <c r="C49" s="18"/>
      <c r="D49" s="18">
        <v>100</v>
      </c>
      <c r="E49" s="18">
        <v>1</v>
      </c>
      <c r="F49" s="18">
        <v>63</v>
      </c>
      <c r="G49" s="8">
        <f t="shared" si="1"/>
        <v>163</v>
      </c>
      <c r="H49" s="27">
        <f t="shared" si="2"/>
        <v>0</v>
      </c>
      <c r="I49" s="18">
        <v>3.7</v>
      </c>
      <c r="J49" s="18"/>
      <c r="K49" s="18"/>
      <c r="L49" s="18"/>
      <c r="M49" s="18"/>
    </row>
    <row r="50" spans="1:13" x14ac:dyDescent="0.2">
      <c r="A50" s="18">
        <v>4088</v>
      </c>
      <c r="B50" s="18" t="s">
        <v>889</v>
      </c>
      <c r="C50" s="18"/>
      <c r="D50" s="18">
        <v>250</v>
      </c>
      <c r="E50" s="18">
        <v>5</v>
      </c>
      <c r="F50" s="18">
        <v>65</v>
      </c>
      <c r="G50" s="8">
        <f t="shared" si="1"/>
        <v>1315</v>
      </c>
      <c r="H50" s="27">
        <f t="shared" si="2"/>
        <v>0</v>
      </c>
      <c r="I50" s="18"/>
      <c r="J50" s="18"/>
      <c r="K50" s="18"/>
      <c r="L50" s="18">
        <v>0.3</v>
      </c>
      <c r="M50" s="18"/>
    </row>
    <row r="51" spans="1:13" x14ac:dyDescent="0.2">
      <c r="A51" s="18">
        <v>3822</v>
      </c>
      <c r="B51" s="18" t="s">
        <v>104</v>
      </c>
      <c r="C51" s="18">
        <v>163.1</v>
      </c>
      <c r="D51" s="18">
        <v>2000</v>
      </c>
      <c r="E51" s="18">
        <v>16</v>
      </c>
      <c r="F51" s="18"/>
      <c r="G51" s="8">
        <f t="shared" si="1"/>
        <v>32000</v>
      </c>
      <c r="H51" s="27">
        <f t="shared" si="2"/>
        <v>9.8099325567136738E-3</v>
      </c>
      <c r="I51" s="18">
        <v>1.6</v>
      </c>
      <c r="J51" s="18"/>
      <c r="K51" s="18"/>
      <c r="L51" s="18"/>
      <c r="M51" s="18"/>
    </row>
    <row r="52" spans="1:13" x14ac:dyDescent="0.2">
      <c r="A52" s="18">
        <v>4018</v>
      </c>
      <c r="B52" s="18" t="s">
        <v>207</v>
      </c>
      <c r="C52" s="18">
        <v>461.4</v>
      </c>
      <c r="D52" s="18">
        <v>500</v>
      </c>
      <c r="E52" s="18">
        <v>66</v>
      </c>
      <c r="F52" s="18"/>
      <c r="G52" s="8">
        <f t="shared" si="1"/>
        <v>33000</v>
      </c>
      <c r="H52" s="27">
        <f t="shared" si="2"/>
        <v>-2.83919663839118E-4</v>
      </c>
      <c r="I52" s="18">
        <v>13</v>
      </c>
      <c r="J52" s="18">
        <v>4.2</v>
      </c>
      <c r="K52" s="18">
        <v>20.7</v>
      </c>
      <c r="L52" s="18">
        <v>46249</v>
      </c>
      <c r="M52" s="18"/>
    </row>
    <row r="53" spans="1:13" x14ac:dyDescent="0.2">
      <c r="A53" s="18">
        <v>4087</v>
      </c>
      <c r="B53" s="18" t="s">
        <v>395</v>
      </c>
      <c r="C53" s="18">
        <v>239.8</v>
      </c>
      <c r="D53" s="18">
        <v>2000</v>
      </c>
      <c r="E53" s="18">
        <v>46</v>
      </c>
      <c r="F53" s="18"/>
      <c r="G53" s="8">
        <f t="shared" si="1"/>
        <v>92000</v>
      </c>
      <c r="H53" s="27">
        <f t="shared" si="2"/>
        <v>1.1259382819015847E-2</v>
      </c>
      <c r="I53" s="18">
        <v>2.7</v>
      </c>
      <c r="J53" s="18"/>
      <c r="K53" s="18"/>
      <c r="L53" s="18"/>
      <c r="M53" s="18"/>
    </row>
    <row r="54" spans="1:13" x14ac:dyDescent="0.2">
      <c r="A54" s="18">
        <v>4133</v>
      </c>
      <c r="B54" s="18" t="s">
        <v>891</v>
      </c>
      <c r="C54" s="18">
        <v>97.4</v>
      </c>
      <c r="D54" s="18">
        <v>250</v>
      </c>
      <c r="E54" s="18">
        <v>7</v>
      </c>
      <c r="F54" s="18">
        <v>125</v>
      </c>
      <c r="G54" s="8">
        <f t="shared" si="1"/>
        <v>1875</v>
      </c>
      <c r="H54" s="27">
        <f t="shared" si="2"/>
        <v>2.063983488132095E-2</v>
      </c>
      <c r="I54" s="18">
        <v>2</v>
      </c>
      <c r="J54" s="18">
        <v>1.4</v>
      </c>
      <c r="K54" s="18"/>
      <c r="L54" s="18">
        <v>0.5</v>
      </c>
      <c r="M54" s="18"/>
    </row>
    <row r="55" spans="1:13" x14ac:dyDescent="0.2">
      <c r="A55" s="18">
        <v>4033</v>
      </c>
      <c r="B55" s="18" t="s">
        <v>892</v>
      </c>
      <c r="C55" s="18">
        <v>203.3</v>
      </c>
      <c r="D55" s="18">
        <v>500</v>
      </c>
      <c r="E55" s="18">
        <v>17</v>
      </c>
      <c r="F55" s="18">
        <v>400</v>
      </c>
      <c r="G55" s="8">
        <f t="shared" si="1"/>
        <v>8900</v>
      </c>
      <c r="H55" s="27">
        <f t="shared" si="2"/>
        <v>4.6728971962616821E-2</v>
      </c>
      <c r="I55" s="18">
        <v>9.5</v>
      </c>
      <c r="J55" s="18"/>
      <c r="K55" s="18"/>
      <c r="L55" s="18"/>
      <c r="M55" s="18"/>
    </row>
    <row r="56" spans="1:13" x14ac:dyDescent="0.2">
      <c r="A56" s="18">
        <v>4154</v>
      </c>
      <c r="B56" s="18" t="s">
        <v>871</v>
      </c>
      <c r="C56" s="18">
        <v>60.6</v>
      </c>
      <c r="D56" s="18">
        <v>25</v>
      </c>
      <c r="E56" s="18">
        <v>18</v>
      </c>
      <c r="F56" s="18"/>
      <c r="G56" s="8">
        <f t="shared" si="1"/>
        <v>450</v>
      </c>
      <c r="H56" s="27">
        <f t="shared" si="2"/>
        <v>1.9801980198019802E-2</v>
      </c>
      <c r="I56" s="18">
        <v>1.2</v>
      </c>
      <c r="J56" s="18"/>
      <c r="K56" s="18"/>
      <c r="L56" s="18"/>
      <c r="M56" s="18"/>
    </row>
    <row r="57" spans="1:13" x14ac:dyDescent="0.2">
      <c r="A57" s="18">
        <v>4216</v>
      </c>
      <c r="B57" s="18" t="s">
        <v>893</v>
      </c>
      <c r="C57" s="18">
        <v>628</v>
      </c>
      <c r="D57" s="18">
        <v>200</v>
      </c>
      <c r="E57" s="18">
        <v>46</v>
      </c>
      <c r="F57" s="18"/>
      <c r="G57" s="8">
        <f t="shared" si="1"/>
        <v>9200</v>
      </c>
      <c r="H57" s="27">
        <f t="shared" si="2"/>
        <v>3.4076433121019108E-2</v>
      </c>
      <c r="I57" s="18">
        <v>21.4</v>
      </c>
      <c r="J57" s="18"/>
      <c r="K57" s="18"/>
      <c r="L57" s="18"/>
      <c r="M57" s="18"/>
    </row>
    <row r="58" spans="1:13" x14ac:dyDescent="0.2">
      <c r="A58" s="18">
        <v>4154</v>
      </c>
      <c r="B58" s="18" t="s">
        <v>871</v>
      </c>
      <c r="C58" s="18"/>
      <c r="D58" s="18">
        <v>100</v>
      </c>
      <c r="E58" s="18">
        <v>2</v>
      </c>
      <c r="F58" s="18">
        <v>40</v>
      </c>
      <c r="G58" s="8">
        <f t="shared" si="1"/>
        <v>240</v>
      </c>
      <c r="H58" s="27">
        <f t="shared" si="2"/>
        <v>0</v>
      </c>
      <c r="I58" s="18"/>
      <c r="J58" s="18"/>
      <c r="K58" s="18"/>
      <c r="L58" s="18"/>
      <c r="M58" s="18"/>
    </row>
    <row r="59" spans="1:13" x14ac:dyDescent="0.2">
      <c r="A59" s="18">
        <v>4216</v>
      </c>
      <c r="B59" s="18" t="s">
        <v>893</v>
      </c>
      <c r="C59" s="18">
        <v>670</v>
      </c>
      <c r="D59" s="18">
        <v>200</v>
      </c>
      <c r="E59" s="18">
        <v>46</v>
      </c>
      <c r="F59" s="18">
        <v>195</v>
      </c>
      <c r="G59" s="8">
        <f t="shared" si="1"/>
        <v>9395</v>
      </c>
      <c r="H59" s="27">
        <f t="shared" si="2"/>
        <v>1.4179104477611941E-2</v>
      </c>
      <c r="I59" s="18">
        <v>9.5</v>
      </c>
      <c r="J59" s="18"/>
      <c r="K59" s="18"/>
      <c r="L59" s="18"/>
      <c r="M59" s="18"/>
    </row>
    <row r="60" spans="1:13" x14ac:dyDescent="0.2">
      <c r="A60" s="18">
        <v>3583</v>
      </c>
      <c r="B60" s="18" t="s">
        <v>65</v>
      </c>
      <c r="C60" s="18">
        <v>66.099999999999994</v>
      </c>
      <c r="D60" s="18">
        <v>2000</v>
      </c>
      <c r="E60" s="18">
        <v>7</v>
      </c>
      <c r="F60" s="18"/>
      <c r="G60" s="8">
        <f t="shared" si="1"/>
        <v>14000</v>
      </c>
      <c r="H60" s="27">
        <f t="shared" si="2"/>
        <v>5.9001512859304085E-2</v>
      </c>
      <c r="I60" s="18">
        <v>3.9</v>
      </c>
      <c r="J60" s="18">
        <v>5.5</v>
      </c>
      <c r="K60" s="18">
        <v>3.1</v>
      </c>
      <c r="L60" s="18"/>
      <c r="M60" s="18"/>
    </row>
    <row r="61" spans="1:13" x14ac:dyDescent="0.2">
      <c r="A61" s="18">
        <v>3822</v>
      </c>
      <c r="B61" s="18" t="s">
        <v>104</v>
      </c>
      <c r="C61" s="18"/>
      <c r="D61" s="18"/>
      <c r="E61" s="18"/>
      <c r="F61" s="18">
        <v>1350</v>
      </c>
      <c r="G61" s="8">
        <f t="shared" si="1"/>
        <v>1350</v>
      </c>
      <c r="H61" s="27">
        <f t="shared" si="2"/>
        <v>0</v>
      </c>
      <c r="I61" s="18">
        <v>0.3</v>
      </c>
      <c r="J61" s="18"/>
      <c r="K61" s="18"/>
      <c r="L61" s="18"/>
      <c r="M61" s="18"/>
    </row>
    <row r="62" spans="1:13" x14ac:dyDescent="0.2">
      <c r="A62" s="18">
        <v>4073</v>
      </c>
      <c r="B62" s="18" t="s">
        <v>894</v>
      </c>
      <c r="C62" s="18">
        <v>117</v>
      </c>
      <c r="D62" s="18">
        <v>3000</v>
      </c>
      <c r="E62" s="18">
        <v>15</v>
      </c>
      <c r="F62" s="18">
        <v>1200</v>
      </c>
      <c r="G62" s="8">
        <f t="shared" si="1"/>
        <v>46200</v>
      </c>
      <c r="H62" s="27">
        <f t="shared" si="2"/>
        <v>1.7094017094017096E-2</v>
      </c>
      <c r="I62" s="18">
        <v>2</v>
      </c>
      <c r="J62" s="18"/>
      <c r="K62" s="18"/>
      <c r="L62" s="18"/>
      <c r="M62" s="18"/>
    </row>
    <row r="63" spans="1:13" x14ac:dyDescent="0.2">
      <c r="A63" s="18">
        <v>4115</v>
      </c>
      <c r="B63" s="18" t="s">
        <v>251</v>
      </c>
      <c r="C63" s="18">
        <v>97.8</v>
      </c>
      <c r="D63" s="18">
        <v>1500</v>
      </c>
      <c r="E63" s="18">
        <v>6</v>
      </c>
      <c r="F63" s="18"/>
      <c r="G63" s="8">
        <f t="shared" si="1"/>
        <v>9000</v>
      </c>
      <c r="H63" s="27">
        <f t="shared" si="2"/>
        <v>8.1799591002044997E-3</v>
      </c>
      <c r="I63" s="18">
        <v>0.8</v>
      </c>
      <c r="J63" s="18"/>
      <c r="K63" s="18"/>
      <c r="L63" s="18"/>
      <c r="M63" s="18"/>
    </row>
    <row r="64" spans="1:13" x14ac:dyDescent="0.2">
      <c r="A64" s="18">
        <v>4018</v>
      </c>
      <c r="B64" s="18" t="s">
        <v>207</v>
      </c>
      <c r="C64" s="18">
        <v>700</v>
      </c>
      <c r="D64" s="18">
        <v>500</v>
      </c>
      <c r="E64" s="18">
        <v>84</v>
      </c>
      <c r="F64" s="18"/>
      <c r="G64" s="8">
        <f t="shared" si="1"/>
        <v>42000</v>
      </c>
      <c r="H64" s="27">
        <f t="shared" si="2"/>
        <v>1.3378418112319905E-2</v>
      </c>
      <c r="I64" s="18">
        <v>9.1</v>
      </c>
      <c r="J64" s="18">
        <v>8</v>
      </c>
      <c r="K64" s="18">
        <v>12.3</v>
      </c>
      <c r="L64" s="18">
        <v>19.8</v>
      </c>
      <c r="M64" s="18"/>
    </row>
    <row r="65" spans="1:13" x14ac:dyDescent="0.2">
      <c r="A65" s="18">
        <v>4087</v>
      </c>
      <c r="B65" s="18" t="s">
        <v>395</v>
      </c>
      <c r="C65" s="18">
        <v>96.3</v>
      </c>
      <c r="D65" s="18">
        <v>2000</v>
      </c>
      <c r="E65" s="18">
        <v>9</v>
      </c>
      <c r="F65" s="18"/>
      <c r="G65" s="8">
        <f t="shared" si="1"/>
        <v>18000</v>
      </c>
      <c r="H65" s="27">
        <f t="shared" si="2"/>
        <v>6.2305295950155761E-3</v>
      </c>
      <c r="I65" s="18">
        <v>0.6</v>
      </c>
      <c r="J65" s="18"/>
      <c r="K65" s="18"/>
      <c r="L65" s="18"/>
      <c r="M65" s="18"/>
    </row>
    <row r="66" spans="1:13" x14ac:dyDescent="0.2">
      <c r="A66" s="18">
        <v>4043</v>
      </c>
      <c r="B66" s="18" t="s">
        <v>688</v>
      </c>
      <c r="C66" s="18">
        <v>334</v>
      </c>
      <c r="D66" s="18">
        <v>1000</v>
      </c>
      <c r="E66" s="18">
        <v>36</v>
      </c>
      <c r="F66" s="18"/>
      <c r="G66" s="8">
        <f t="shared" si="1"/>
        <v>36000</v>
      </c>
      <c r="H66" s="27">
        <f t="shared" si="2"/>
        <v>0</v>
      </c>
      <c r="I66" s="18"/>
      <c r="J66" s="18">
        <v>5.6</v>
      </c>
      <c r="K66" s="18">
        <v>20.5</v>
      </c>
      <c r="L66" s="18"/>
      <c r="M66" s="18"/>
    </row>
    <row r="67" spans="1:13" x14ac:dyDescent="0.2">
      <c r="A67" s="18">
        <v>4265</v>
      </c>
      <c r="B67" s="18" t="s">
        <v>895</v>
      </c>
      <c r="C67" s="18">
        <v>452</v>
      </c>
      <c r="D67" s="18">
        <v>150</v>
      </c>
      <c r="E67" s="18">
        <v>33</v>
      </c>
      <c r="F67" s="18"/>
      <c r="G67" s="8">
        <f t="shared" ref="G67:G130" si="3">D67*E67+F67</f>
        <v>4950</v>
      </c>
      <c r="H67" s="27">
        <f t="shared" si="2"/>
        <v>1.6397395707740535E-2</v>
      </c>
      <c r="I67" s="18">
        <v>6.8</v>
      </c>
      <c r="J67" s="18"/>
      <c r="K67" s="18"/>
      <c r="L67" s="18">
        <v>37.299999999999997</v>
      </c>
      <c r="M67" s="18"/>
    </row>
    <row r="68" spans="1:13" x14ac:dyDescent="0.2">
      <c r="A68" s="18">
        <v>4084</v>
      </c>
      <c r="B68" s="18" t="s">
        <v>896</v>
      </c>
      <c r="C68" s="18">
        <v>366.8</v>
      </c>
      <c r="D68" s="18">
        <v>500</v>
      </c>
      <c r="E68" s="18">
        <v>36</v>
      </c>
      <c r="F68" s="18">
        <v>190</v>
      </c>
      <c r="G68" s="8">
        <f t="shared" si="3"/>
        <v>18190</v>
      </c>
      <c r="H68" s="27">
        <f t="shared" si="2"/>
        <v>2.1991831605403706E-2</v>
      </c>
      <c r="I68" s="18">
        <v>7</v>
      </c>
      <c r="J68" s="18">
        <v>6.1</v>
      </c>
      <c r="K68" s="18"/>
      <c r="L68" s="18">
        <v>48.5</v>
      </c>
      <c r="M68" s="18"/>
    </row>
    <row r="69" spans="1:13" x14ac:dyDescent="0.2">
      <c r="A69" s="18">
        <v>4083</v>
      </c>
      <c r="B69" s="18" t="s">
        <v>512</v>
      </c>
      <c r="C69" s="18">
        <v>162.30000000000001</v>
      </c>
      <c r="D69" s="18">
        <v>500</v>
      </c>
      <c r="E69" s="18">
        <v>29</v>
      </c>
      <c r="F69" s="18"/>
      <c r="G69" s="8">
        <f t="shared" si="3"/>
        <v>14500</v>
      </c>
      <c r="H69" s="27">
        <f t="shared" si="2"/>
        <v>2.202339986235375E-2</v>
      </c>
      <c r="I69" s="18">
        <v>3.2</v>
      </c>
      <c r="J69" s="18">
        <v>4</v>
      </c>
      <c r="K69" s="18"/>
      <c r="L69" s="18">
        <v>17</v>
      </c>
      <c r="M69" s="18"/>
    </row>
    <row r="70" spans="1:13" x14ac:dyDescent="0.2">
      <c r="A70" s="18">
        <v>4154</v>
      </c>
      <c r="B70" s="18" t="s">
        <v>871</v>
      </c>
      <c r="C70" s="18"/>
      <c r="D70" s="18"/>
      <c r="E70" s="18"/>
      <c r="F70" s="18">
        <v>50</v>
      </c>
      <c r="G70" s="8">
        <f t="shared" si="3"/>
        <v>50</v>
      </c>
      <c r="H70" s="27">
        <f t="shared" si="2"/>
        <v>0</v>
      </c>
      <c r="I70" s="18"/>
      <c r="J70" s="18"/>
      <c r="K70" s="18"/>
      <c r="L70" s="18"/>
      <c r="M70" s="18"/>
    </row>
    <row r="71" spans="1:13" x14ac:dyDescent="0.2">
      <c r="A71" s="18">
        <v>4018</v>
      </c>
      <c r="B71" s="18" t="s">
        <v>207</v>
      </c>
      <c r="C71" s="18">
        <v>669.9</v>
      </c>
      <c r="D71" s="18">
        <v>500</v>
      </c>
      <c r="E71" s="18">
        <v>74</v>
      </c>
      <c r="F71" s="18"/>
      <c r="G71" s="8">
        <f t="shared" si="3"/>
        <v>37000</v>
      </c>
      <c r="H71" s="27">
        <f t="shared" si="2"/>
        <v>6.5900383141762452E-3</v>
      </c>
      <c r="I71" s="18">
        <v>4.3</v>
      </c>
      <c r="J71" s="18">
        <v>17.600000000000001</v>
      </c>
      <c r="K71" s="18">
        <v>8.1999999999999993</v>
      </c>
      <c r="L71" s="18">
        <v>17.399999999999999</v>
      </c>
      <c r="M71" s="18"/>
    </row>
    <row r="72" spans="1:13" x14ac:dyDescent="0.2">
      <c r="A72" s="18">
        <v>4043</v>
      </c>
      <c r="B72" s="18" t="s">
        <v>688</v>
      </c>
      <c r="C72" s="18">
        <v>406</v>
      </c>
      <c r="D72" s="18">
        <v>1000</v>
      </c>
      <c r="E72" s="18">
        <v>41</v>
      </c>
      <c r="F72" s="18"/>
      <c r="G72" s="8">
        <f t="shared" si="3"/>
        <v>41000</v>
      </c>
      <c r="H72" s="27">
        <f t="shared" si="2"/>
        <v>9.3596059113300496E-3</v>
      </c>
      <c r="I72" s="18">
        <v>3.8</v>
      </c>
      <c r="J72" s="18">
        <v>6.8</v>
      </c>
      <c r="K72" s="18"/>
      <c r="L72" s="18"/>
      <c r="M72" s="18"/>
    </row>
    <row r="73" spans="1:13" x14ac:dyDescent="0.2">
      <c r="A73" s="18">
        <v>3583</v>
      </c>
      <c r="B73" s="18" t="s">
        <v>65</v>
      </c>
      <c r="C73" s="18">
        <v>28.5</v>
      </c>
      <c r="D73" s="18">
        <v>2000</v>
      </c>
      <c r="E73" s="18">
        <v>3</v>
      </c>
      <c r="F73" s="18">
        <v>460</v>
      </c>
      <c r="G73" s="8">
        <f t="shared" si="3"/>
        <v>6460</v>
      </c>
      <c r="H73" s="27">
        <f t="shared" si="2"/>
        <v>0.10526315789473684</v>
      </c>
      <c r="I73" s="18">
        <v>3</v>
      </c>
      <c r="J73" s="18"/>
      <c r="K73" s="18"/>
      <c r="L73" s="18"/>
      <c r="M73" s="18"/>
    </row>
    <row r="74" spans="1:13" x14ac:dyDescent="0.2">
      <c r="A74" s="18">
        <v>4293</v>
      </c>
      <c r="B74" s="18" t="s">
        <v>401</v>
      </c>
      <c r="C74" s="18">
        <v>334.3</v>
      </c>
      <c r="D74" s="18">
        <v>200</v>
      </c>
      <c r="E74" s="18">
        <v>23</v>
      </c>
      <c r="F74" s="18">
        <v>175</v>
      </c>
      <c r="G74" s="8">
        <f t="shared" si="3"/>
        <v>4775</v>
      </c>
      <c r="H74" s="27">
        <f t="shared" si="2"/>
        <v>4.4869877355668561E-3</v>
      </c>
      <c r="I74" s="18">
        <v>1.5</v>
      </c>
      <c r="J74" s="18">
        <v>61.2</v>
      </c>
      <c r="K74" s="18"/>
      <c r="L74" s="18"/>
      <c r="M74" s="18"/>
    </row>
    <row r="75" spans="1:13" x14ac:dyDescent="0.2">
      <c r="A75" s="18">
        <v>4115</v>
      </c>
      <c r="B75" s="18" t="s">
        <v>251</v>
      </c>
      <c r="C75" s="18">
        <v>228.9</v>
      </c>
      <c r="D75" s="18">
        <v>1500</v>
      </c>
      <c r="E75" s="18">
        <v>32</v>
      </c>
      <c r="F75" s="18"/>
      <c r="G75" s="8">
        <f t="shared" si="3"/>
        <v>48000</v>
      </c>
      <c r="H75" s="27">
        <f t="shared" si="2"/>
        <v>1.1795543905635648E-2</v>
      </c>
      <c r="I75" s="18">
        <v>2.7</v>
      </c>
      <c r="J75" s="18"/>
      <c r="K75" s="18"/>
      <c r="L75" s="18"/>
      <c r="M75" s="18"/>
    </row>
    <row r="76" spans="1:13" x14ac:dyDescent="0.2">
      <c r="A76" s="18">
        <v>4028</v>
      </c>
      <c r="B76" s="18" t="s">
        <v>198</v>
      </c>
      <c r="C76" s="18">
        <v>307.8</v>
      </c>
      <c r="D76" s="18">
        <v>1500</v>
      </c>
      <c r="E76" s="18">
        <v>30</v>
      </c>
      <c r="F76" s="18"/>
      <c r="G76" s="8">
        <f t="shared" si="3"/>
        <v>45000</v>
      </c>
      <c r="H76" s="27">
        <f t="shared" si="2"/>
        <v>5.1981806367771277E-3</v>
      </c>
      <c r="I76" s="18">
        <v>1.6</v>
      </c>
      <c r="J76" s="18"/>
      <c r="K76" s="18"/>
      <c r="L76" s="18"/>
      <c r="M76" s="18"/>
    </row>
    <row r="77" spans="1:13" x14ac:dyDescent="0.2">
      <c r="A77" s="18">
        <v>4083</v>
      </c>
      <c r="B77" s="18" t="s">
        <v>897</v>
      </c>
      <c r="C77" s="18"/>
      <c r="D77" s="18">
        <v>500</v>
      </c>
      <c r="E77" s="18">
        <v>3</v>
      </c>
      <c r="F77" s="18">
        <v>350</v>
      </c>
      <c r="G77" s="8">
        <f t="shared" si="3"/>
        <v>1850</v>
      </c>
      <c r="H77" s="27">
        <f t="shared" si="2"/>
        <v>0</v>
      </c>
      <c r="I77" s="18"/>
      <c r="J77" s="18"/>
      <c r="K77" s="18"/>
      <c r="L77" s="18">
        <v>2</v>
      </c>
      <c r="M77" s="18"/>
    </row>
    <row r="78" spans="1:13" x14ac:dyDescent="0.2">
      <c r="A78" s="18">
        <v>4082</v>
      </c>
      <c r="B78" s="18" t="s">
        <v>898</v>
      </c>
      <c r="C78" s="18">
        <v>142.1</v>
      </c>
      <c r="D78" s="18">
        <v>1000</v>
      </c>
      <c r="E78" s="18">
        <v>28</v>
      </c>
      <c r="F78" s="18">
        <v>340</v>
      </c>
      <c r="G78" s="8">
        <f t="shared" si="3"/>
        <v>28340</v>
      </c>
      <c r="H78" s="27">
        <f t="shared" si="2"/>
        <v>1.1244979919678714E-2</v>
      </c>
      <c r="I78" s="18">
        <v>1.4</v>
      </c>
      <c r="J78" s="18">
        <v>1.3</v>
      </c>
      <c r="K78" s="18">
        <v>0.9</v>
      </c>
      <c r="L78" s="18">
        <v>17.600000000000001</v>
      </c>
      <c r="M78" s="18"/>
    </row>
    <row r="79" spans="1:13" x14ac:dyDescent="0.2">
      <c r="A79" s="18">
        <v>4194</v>
      </c>
      <c r="B79" s="18" t="s">
        <v>899</v>
      </c>
      <c r="C79" s="18">
        <v>150.80000000000001</v>
      </c>
      <c r="D79" s="18">
        <v>500</v>
      </c>
      <c r="E79" s="18">
        <v>16</v>
      </c>
      <c r="F79" s="18">
        <v>100</v>
      </c>
      <c r="G79" s="8">
        <f t="shared" si="3"/>
        <v>8100</v>
      </c>
      <c r="H79" s="27">
        <f t="shared" si="2"/>
        <v>8.2520630157539385E-3</v>
      </c>
      <c r="I79" s="18">
        <v>1.1000000000000001</v>
      </c>
      <c r="J79" s="18">
        <v>1.6</v>
      </c>
      <c r="K79" s="18"/>
      <c r="L79" s="18">
        <v>17.5</v>
      </c>
      <c r="M79" s="18"/>
    </row>
    <row r="80" spans="1:13" x14ac:dyDescent="0.2">
      <c r="A80" s="18">
        <v>4195</v>
      </c>
      <c r="B80" s="18" t="s">
        <v>900</v>
      </c>
      <c r="C80" s="18">
        <v>420.3</v>
      </c>
      <c r="D80" s="18">
        <v>500</v>
      </c>
      <c r="E80" s="18">
        <v>42</v>
      </c>
      <c r="F80" s="18">
        <v>300</v>
      </c>
      <c r="G80" s="8">
        <f t="shared" si="3"/>
        <v>21300</v>
      </c>
      <c r="H80" s="27">
        <f t="shared" si="2"/>
        <v>1.1159499183451277E-2</v>
      </c>
      <c r="I80" s="18">
        <v>4.0999999999999996</v>
      </c>
      <c r="J80" s="18">
        <v>3.5</v>
      </c>
      <c r="K80" s="18">
        <v>11.4</v>
      </c>
      <c r="L80" s="18">
        <v>52.9</v>
      </c>
      <c r="M80" s="18"/>
    </row>
    <row r="81" spans="1:13" x14ac:dyDescent="0.2">
      <c r="A81" s="18">
        <v>4275</v>
      </c>
      <c r="B81" s="18" t="s">
        <v>771</v>
      </c>
      <c r="C81" s="18">
        <v>146</v>
      </c>
      <c r="D81" s="18">
        <v>4000</v>
      </c>
      <c r="E81" s="18">
        <v>9</v>
      </c>
      <c r="F81" s="18"/>
      <c r="G81" s="8">
        <f t="shared" si="3"/>
        <v>36000</v>
      </c>
      <c r="H81" s="27">
        <f t="shared" si="2"/>
        <v>0</v>
      </c>
      <c r="I81" s="18"/>
      <c r="J81" s="18"/>
      <c r="K81" s="18"/>
      <c r="L81" s="18"/>
      <c r="M81" s="18"/>
    </row>
    <row r="82" spans="1:13" x14ac:dyDescent="0.2">
      <c r="A82" s="18">
        <v>4198</v>
      </c>
      <c r="B82" s="18" t="s">
        <v>901</v>
      </c>
      <c r="C82" s="18">
        <v>126</v>
      </c>
      <c r="D82" s="18">
        <v>500</v>
      </c>
      <c r="E82" s="18">
        <v>14</v>
      </c>
      <c r="F82" s="18"/>
      <c r="G82" s="8">
        <f t="shared" si="3"/>
        <v>7000</v>
      </c>
      <c r="H82" s="27">
        <f t="shared" si="2"/>
        <v>2.1602160216021602E-2</v>
      </c>
      <c r="I82" s="18">
        <v>2.4</v>
      </c>
      <c r="J82" s="18"/>
      <c r="K82" s="18"/>
      <c r="L82" s="18">
        <v>14.9</v>
      </c>
      <c r="M82" s="18"/>
    </row>
    <row r="83" spans="1:13" x14ac:dyDescent="0.2">
      <c r="A83" s="18">
        <v>4081</v>
      </c>
      <c r="B83" s="18" t="s">
        <v>902</v>
      </c>
      <c r="C83" s="18">
        <v>44.3</v>
      </c>
      <c r="D83" s="18">
        <v>1000</v>
      </c>
      <c r="E83" s="18">
        <v>2</v>
      </c>
      <c r="F83" s="18"/>
      <c r="G83" s="8">
        <f t="shared" si="3"/>
        <v>2000</v>
      </c>
      <c r="H83" s="27">
        <f t="shared" si="2"/>
        <v>6.0948081264108361E-2</v>
      </c>
      <c r="I83" s="18">
        <v>2.7</v>
      </c>
      <c r="J83" s="18"/>
      <c r="K83" s="18"/>
      <c r="L83" s="18"/>
      <c r="M83" s="18"/>
    </row>
    <row r="84" spans="1:13" x14ac:dyDescent="0.2">
      <c r="A84" s="18">
        <v>4209</v>
      </c>
      <c r="B84" s="18" t="s">
        <v>363</v>
      </c>
      <c r="C84" s="18">
        <v>484.8</v>
      </c>
      <c r="D84" s="18">
        <v>500</v>
      </c>
      <c r="E84" s="18">
        <v>21</v>
      </c>
      <c r="F84" s="18">
        <v>300</v>
      </c>
      <c r="G84" s="8">
        <f t="shared" si="3"/>
        <v>10800</v>
      </c>
      <c r="H84" s="27">
        <f t="shared" si="2"/>
        <v>3.0940594059405938E-3</v>
      </c>
      <c r="I84" s="18">
        <v>1.5</v>
      </c>
      <c r="J84" s="18"/>
      <c r="K84" s="18">
        <v>61.2</v>
      </c>
      <c r="L84" s="18"/>
      <c r="M84" s="18" t="s">
        <v>903</v>
      </c>
    </row>
    <row r="85" spans="1:13" x14ac:dyDescent="0.2">
      <c r="A85" s="18">
        <v>4111</v>
      </c>
      <c r="B85" s="18" t="s">
        <v>904</v>
      </c>
      <c r="C85" s="18">
        <v>48.7</v>
      </c>
      <c r="D85" s="18">
        <v>800</v>
      </c>
      <c r="E85" s="18">
        <v>4</v>
      </c>
      <c r="F85" s="18"/>
      <c r="G85" s="8">
        <f t="shared" si="3"/>
        <v>3200</v>
      </c>
      <c r="H85" s="27">
        <f t="shared" si="2"/>
        <v>1.8480492813141684E-2</v>
      </c>
      <c r="I85" s="18">
        <v>0.9</v>
      </c>
      <c r="J85" s="18"/>
      <c r="K85" s="18"/>
      <c r="L85" s="18"/>
      <c r="M85" s="18"/>
    </row>
    <row r="86" spans="1:13" x14ac:dyDescent="0.2">
      <c r="A86" s="18">
        <v>4111</v>
      </c>
      <c r="B86" s="18" t="s">
        <v>904</v>
      </c>
      <c r="C86" s="18">
        <v>84.5</v>
      </c>
      <c r="D86" s="18">
        <v>800</v>
      </c>
      <c r="E86" s="18">
        <v>7</v>
      </c>
      <c r="F86" s="18">
        <v>690</v>
      </c>
      <c r="G86" s="8">
        <f t="shared" si="3"/>
        <v>6290</v>
      </c>
      <c r="H86" s="27">
        <f t="shared" si="2"/>
        <v>2.1301775147928994E-2</v>
      </c>
      <c r="I86" s="18">
        <v>1.8</v>
      </c>
      <c r="J86" s="18"/>
      <c r="K86" s="18"/>
      <c r="L86" s="18"/>
      <c r="M86" s="18"/>
    </row>
    <row r="87" spans="1:13" x14ac:dyDescent="0.2">
      <c r="A87" s="18">
        <v>4028</v>
      </c>
      <c r="B87" s="18" t="s">
        <v>198</v>
      </c>
      <c r="C87" s="18">
        <v>165.5</v>
      </c>
      <c r="D87" s="18">
        <v>1500</v>
      </c>
      <c r="E87" s="18">
        <v>10</v>
      </c>
      <c r="F87" s="18">
        <v>970</v>
      </c>
      <c r="G87" s="8">
        <f t="shared" si="3"/>
        <v>15970</v>
      </c>
      <c r="H87" s="27">
        <f t="shared" si="2"/>
        <v>6.646525679758309E-3</v>
      </c>
      <c r="I87" s="18">
        <v>1.1000000000000001</v>
      </c>
      <c r="J87" s="18"/>
      <c r="K87" s="18"/>
      <c r="L87" s="18"/>
      <c r="M87" s="18"/>
    </row>
    <row r="88" spans="1:13" x14ac:dyDescent="0.2">
      <c r="A88" s="18">
        <v>4198</v>
      </c>
      <c r="B88" s="18" t="s">
        <v>901</v>
      </c>
      <c r="C88" s="18">
        <v>264.2</v>
      </c>
      <c r="D88" s="18">
        <v>500</v>
      </c>
      <c r="E88" s="18">
        <v>29</v>
      </c>
      <c r="F88" s="18">
        <v>200</v>
      </c>
      <c r="G88" s="8">
        <f t="shared" si="3"/>
        <v>14700</v>
      </c>
      <c r="H88" s="27">
        <f t="shared" si="2"/>
        <v>3.8330494037478707E-2</v>
      </c>
      <c r="I88" s="18">
        <v>9</v>
      </c>
      <c r="J88" s="18"/>
      <c r="K88" s="18"/>
      <c r="L88" s="18">
        <v>29.4</v>
      </c>
      <c r="M88" s="18"/>
    </row>
    <row r="89" spans="1:13" x14ac:dyDescent="0.2">
      <c r="A89" s="18">
        <v>4018</v>
      </c>
      <c r="B89" s="18" t="s">
        <v>207</v>
      </c>
      <c r="C89" s="18">
        <v>406.1</v>
      </c>
      <c r="D89" s="18">
        <v>500</v>
      </c>
      <c r="E89" s="18">
        <v>48</v>
      </c>
      <c r="F89" s="18"/>
      <c r="G89" s="8">
        <f t="shared" si="3"/>
        <v>24000</v>
      </c>
      <c r="H89" s="27">
        <f t="shared" si="2"/>
        <v>3.1146285422517229E-2</v>
      </c>
      <c r="I89" s="18">
        <v>12.2</v>
      </c>
      <c r="J89" s="18">
        <v>13</v>
      </c>
      <c r="K89" s="18">
        <v>23</v>
      </c>
      <c r="L89" s="18">
        <v>14.4</v>
      </c>
      <c r="M89" s="18"/>
    </row>
    <row r="90" spans="1:13" x14ac:dyDescent="0.2">
      <c r="A90" s="18">
        <v>4081</v>
      </c>
      <c r="B90" s="18" t="s">
        <v>905</v>
      </c>
      <c r="C90" s="18">
        <v>217.4</v>
      </c>
      <c r="D90" s="18">
        <v>1000</v>
      </c>
      <c r="E90" s="18">
        <v>24</v>
      </c>
      <c r="F90" s="18">
        <v>400</v>
      </c>
      <c r="G90" s="8">
        <f t="shared" si="3"/>
        <v>24400</v>
      </c>
      <c r="H90" s="27">
        <f t="shared" si="2"/>
        <v>2.8978840846366143E-2</v>
      </c>
      <c r="I90" s="18">
        <v>6.3</v>
      </c>
      <c r="J90" s="18">
        <v>7.7</v>
      </c>
      <c r="K90" s="18"/>
      <c r="L90" s="18"/>
      <c r="M90" s="18"/>
    </row>
    <row r="91" spans="1:13" x14ac:dyDescent="0.2">
      <c r="A91" s="18">
        <v>4006</v>
      </c>
      <c r="B91" s="18" t="s">
        <v>906</v>
      </c>
      <c r="C91" s="18">
        <v>105.8</v>
      </c>
      <c r="D91" s="18">
        <v>75</v>
      </c>
      <c r="E91" s="18">
        <v>6</v>
      </c>
      <c r="F91" s="18">
        <v>37</v>
      </c>
      <c r="G91" s="8">
        <f t="shared" si="3"/>
        <v>487</v>
      </c>
      <c r="H91" s="27">
        <f t="shared" si="2"/>
        <v>3.6862003780718335E-2</v>
      </c>
      <c r="I91" s="18">
        <v>3.9</v>
      </c>
      <c r="J91" s="18"/>
      <c r="K91" s="18"/>
      <c r="L91" s="18"/>
      <c r="M91" s="18"/>
    </row>
    <row r="92" spans="1:13" x14ac:dyDescent="0.2">
      <c r="A92" s="18">
        <v>4005</v>
      </c>
      <c r="B92" s="18" t="s">
        <v>907</v>
      </c>
      <c r="C92" s="18">
        <v>117.9</v>
      </c>
      <c r="D92" s="18">
        <v>75</v>
      </c>
      <c r="E92" s="18">
        <v>7</v>
      </c>
      <c r="F92" s="18">
        <v>56</v>
      </c>
      <c r="G92" s="8">
        <f t="shared" si="3"/>
        <v>581</v>
      </c>
      <c r="H92" s="27">
        <f t="shared" si="2"/>
        <v>2.6293469041560644E-2</v>
      </c>
      <c r="I92" s="18">
        <v>3.1</v>
      </c>
      <c r="J92" s="18"/>
      <c r="K92" s="18"/>
      <c r="L92" s="18"/>
      <c r="M92" s="18"/>
    </row>
    <row r="93" spans="1:13" x14ac:dyDescent="0.2">
      <c r="A93" s="18">
        <v>4095</v>
      </c>
      <c r="B93" s="18" t="s">
        <v>224</v>
      </c>
      <c r="C93" s="18">
        <v>338.6</v>
      </c>
      <c r="D93" s="18">
        <v>125</v>
      </c>
      <c r="E93" s="18">
        <v>23</v>
      </c>
      <c r="F93" s="18">
        <v>70</v>
      </c>
      <c r="G93" s="8">
        <f t="shared" si="3"/>
        <v>2945</v>
      </c>
      <c r="H93" s="27">
        <f t="shared" si="2"/>
        <v>1.2108682811577081E-2</v>
      </c>
      <c r="I93" s="18">
        <v>4.0999999999999996</v>
      </c>
      <c r="J93" s="18"/>
      <c r="K93" s="18"/>
      <c r="L93" s="18"/>
      <c r="M93" s="18"/>
    </row>
    <row r="94" spans="1:13" x14ac:dyDescent="0.2">
      <c r="A94" s="18">
        <v>4154</v>
      </c>
      <c r="B94" s="18" t="s">
        <v>871</v>
      </c>
      <c r="C94" s="18"/>
      <c r="D94" s="18">
        <v>100</v>
      </c>
      <c r="E94" s="18">
        <v>2</v>
      </c>
      <c r="F94" s="18"/>
      <c r="G94" s="8">
        <f t="shared" si="3"/>
        <v>200</v>
      </c>
      <c r="H94" s="27">
        <f t="shared" si="2"/>
        <v>0</v>
      </c>
      <c r="I94" s="18"/>
      <c r="J94" s="18"/>
      <c r="K94" s="18"/>
      <c r="L94" s="18"/>
      <c r="M94" s="18"/>
    </row>
    <row r="95" spans="1:13" x14ac:dyDescent="0.2">
      <c r="A95" s="18">
        <v>4105</v>
      </c>
      <c r="B95" s="18" t="s">
        <v>908</v>
      </c>
      <c r="C95" s="18">
        <v>474.7</v>
      </c>
      <c r="D95" s="18">
        <v>150</v>
      </c>
      <c r="E95" s="18">
        <v>34</v>
      </c>
      <c r="F95" s="18"/>
      <c r="G95" s="8">
        <f t="shared" si="3"/>
        <v>5100</v>
      </c>
      <c r="H95" s="27">
        <f t="shared" si="2"/>
        <v>1.6220771013271542E-2</v>
      </c>
      <c r="I95" s="18">
        <v>7.7</v>
      </c>
      <c r="J95" s="18"/>
      <c r="K95" s="18"/>
      <c r="L95" s="18"/>
      <c r="M95" s="18"/>
    </row>
    <row r="96" spans="1:13" x14ac:dyDescent="0.2">
      <c r="A96" s="18">
        <v>4078</v>
      </c>
      <c r="B96" s="18" t="s">
        <v>909</v>
      </c>
      <c r="C96" s="18">
        <v>165.4</v>
      </c>
      <c r="D96" s="18">
        <v>1000</v>
      </c>
      <c r="E96" s="18">
        <v>14</v>
      </c>
      <c r="F96" s="18"/>
      <c r="G96" s="8">
        <f t="shared" si="3"/>
        <v>14000</v>
      </c>
      <c r="H96" s="27">
        <f t="shared" si="2"/>
        <v>4.9576783555018135E-2</v>
      </c>
      <c r="I96" s="18">
        <v>8.1999999999999993</v>
      </c>
      <c r="J96" s="18">
        <v>46177</v>
      </c>
      <c r="K96" s="18"/>
      <c r="L96" s="18"/>
      <c r="M96" s="18"/>
    </row>
    <row r="97" spans="1:13" x14ac:dyDescent="0.2">
      <c r="A97" s="18">
        <v>3934</v>
      </c>
      <c r="B97" s="18" t="s">
        <v>408</v>
      </c>
      <c r="C97" s="18">
        <v>85.2</v>
      </c>
      <c r="D97" s="18">
        <v>2000</v>
      </c>
      <c r="E97" s="18">
        <v>8</v>
      </c>
      <c r="F97" s="18"/>
      <c r="G97" s="8">
        <f t="shared" si="3"/>
        <v>16000</v>
      </c>
      <c r="H97" s="27">
        <f t="shared" si="2"/>
        <v>2.3474178403755869E-3</v>
      </c>
      <c r="I97" s="18">
        <v>0.2</v>
      </c>
      <c r="J97" s="18"/>
      <c r="K97" s="18"/>
      <c r="L97" s="18"/>
      <c r="M97" s="18"/>
    </row>
    <row r="98" spans="1:13" x14ac:dyDescent="0.2">
      <c r="A98" s="18">
        <v>3723</v>
      </c>
      <c r="B98" s="18" t="s">
        <v>395</v>
      </c>
      <c r="C98" s="18">
        <v>48.2</v>
      </c>
      <c r="D98" s="18">
        <v>2000</v>
      </c>
      <c r="E98" s="18">
        <v>11</v>
      </c>
      <c r="F98" s="18"/>
      <c r="G98" s="8">
        <f t="shared" si="3"/>
        <v>22000</v>
      </c>
      <c r="H98" s="27">
        <f t="shared" si="2"/>
        <v>2.0746887966804978E-2</v>
      </c>
      <c r="I98" s="18">
        <v>1</v>
      </c>
      <c r="J98" s="18"/>
      <c r="K98" s="18"/>
      <c r="L98" s="18"/>
      <c r="M98" s="18"/>
    </row>
    <row r="99" spans="1:13" x14ac:dyDescent="0.2">
      <c r="A99" s="18">
        <v>4146</v>
      </c>
      <c r="B99" s="18" t="s">
        <v>535</v>
      </c>
      <c r="C99" s="18">
        <v>442</v>
      </c>
      <c r="D99" s="18">
        <v>1000</v>
      </c>
      <c r="E99" s="18">
        <v>40</v>
      </c>
      <c r="F99" s="18"/>
      <c r="G99" s="8">
        <f t="shared" si="3"/>
        <v>40000</v>
      </c>
      <c r="H99" s="27">
        <f t="shared" si="2"/>
        <v>2.5234131113423517E-2</v>
      </c>
      <c r="I99" s="18">
        <v>9.6999999999999993</v>
      </c>
      <c r="J99" s="18"/>
      <c r="K99" s="18"/>
      <c r="L99" s="18">
        <v>57.6</v>
      </c>
      <c r="M99" s="18"/>
    </row>
    <row r="100" spans="1:13" x14ac:dyDescent="0.2">
      <c r="A100" s="18">
        <v>4154</v>
      </c>
      <c r="B100" s="18" t="s">
        <v>871</v>
      </c>
      <c r="C100" s="18"/>
      <c r="D100" s="18">
        <v>100</v>
      </c>
      <c r="E100" s="18">
        <v>1</v>
      </c>
      <c r="F100" s="18">
        <v>40</v>
      </c>
      <c r="G100" s="8">
        <f t="shared" si="3"/>
        <v>140</v>
      </c>
      <c r="H100" s="27">
        <f t="shared" si="2"/>
        <v>0</v>
      </c>
      <c r="I100" s="18"/>
      <c r="J100" s="18"/>
      <c r="K100" s="18"/>
      <c r="L100" s="18"/>
      <c r="M100" s="18"/>
    </row>
    <row r="101" spans="1:13" x14ac:dyDescent="0.2">
      <c r="A101" s="18">
        <v>4239</v>
      </c>
      <c r="B101" s="18" t="s">
        <v>266</v>
      </c>
      <c r="C101" s="18">
        <v>496.5</v>
      </c>
      <c r="D101" s="18">
        <v>1000</v>
      </c>
      <c r="E101" s="18">
        <v>32</v>
      </c>
      <c r="F101" s="18">
        <v>650</v>
      </c>
      <c r="G101" s="8">
        <f t="shared" si="3"/>
        <v>32650</v>
      </c>
      <c r="H101" s="27">
        <f t="shared" ref="H101:H164" si="4">IFERROR(I101/(C101-L101)*100%,0)</f>
        <v>9.6676737160120846E-3</v>
      </c>
      <c r="I101" s="18">
        <v>4.8</v>
      </c>
      <c r="J101" s="18"/>
      <c r="K101" s="18"/>
      <c r="L101" s="18"/>
      <c r="M101" s="18"/>
    </row>
    <row r="102" spans="1:13" x14ac:dyDescent="0.2">
      <c r="A102" s="18">
        <v>4105</v>
      </c>
      <c r="B102" s="18" t="s">
        <v>908</v>
      </c>
      <c r="C102" s="18">
        <v>470</v>
      </c>
      <c r="D102" s="18">
        <v>150</v>
      </c>
      <c r="E102" s="18">
        <v>35</v>
      </c>
      <c r="F102" s="18"/>
      <c r="G102" s="8">
        <f t="shared" si="3"/>
        <v>5250</v>
      </c>
      <c r="H102" s="27">
        <f t="shared" si="4"/>
        <v>2.6382978723404255E-2</v>
      </c>
      <c r="I102" s="18">
        <v>12.4</v>
      </c>
      <c r="J102" s="18"/>
      <c r="K102" s="18"/>
      <c r="L102" s="18"/>
      <c r="M102" s="18"/>
    </row>
    <row r="103" spans="1:13" x14ac:dyDescent="0.2">
      <c r="A103" s="18">
        <v>4169</v>
      </c>
      <c r="B103" s="18" t="s">
        <v>910</v>
      </c>
      <c r="C103" s="18">
        <v>810</v>
      </c>
      <c r="D103" s="18">
        <v>500</v>
      </c>
      <c r="E103" s="18">
        <v>62</v>
      </c>
      <c r="F103" s="18"/>
      <c r="G103" s="8">
        <f t="shared" si="3"/>
        <v>31000</v>
      </c>
      <c r="H103" s="27">
        <f t="shared" si="4"/>
        <v>8.8888888888888889E-3</v>
      </c>
      <c r="I103" s="18">
        <v>7.2</v>
      </c>
      <c r="J103" s="18"/>
      <c r="K103" s="18"/>
      <c r="L103" s="18"/>
      <c r="M103" s="18"/>
    </row>
    <row r="104" spans="1:13" x14ac:dyDescent="0.2">
      <c r="A104" s="18">
        <v>4078</v>
      </c>
      <c r="B104" s="18" t="s">
        <v>909</v>
      </c>
      <c r="C104" s="18">
        <v>409</v>
      </c>
      <c r="D104" s="18">
        <v>1000</v>
      </c>
      <c r="E104" s="18">
        <v>24</v>
      </c>
      <c r="F104" s="18">
        <v>700</v>
      </c>
      <c r="G104" s="8">
        <f t="shared" si="3"/>
        <v>24700</v>
      </c>
      <c r="H104" s="27">
        <f t="shared" si="4"/>
        <v>4.1564792176039117E-3</v>
      </c>
      <c r="I104" s="18">
        <v>1.7</v>
      </c>
      <c r="J104" s="18">
        <v>7</v>
      </c>
      <c r="K104" s="18"/>
      <c r="L104" s="18"/>
      <c r="M104" s="18"/>
    </row>
    <row r="105" spans="1:13" x14ac:dyDescent="0.2">
      <c r="A105" s="18">
        <v>4057</v>
      </c>
      <c r="B105" s="18" t="s">
        <v>911</v>
      </c>
      <c r="C105" s="18">
        <v>571</v>
      </c>
      <c r="D105" s="18">
        <v>500</v>
      </c>
      <c r="E105" s="18">
        <v>54</v>
      </c>
      <c r="F105" s="18"/>
      <c r="G105" s="8">
        <f t="shared" si="3"/>
        <v>27000</v>
      </c>
      <c r="H105" s="27">
        <f t="shared" si="4"/>
        <v>1.4010507880910683E-2</v>
      </c>
      <c r="I105" s="18">
        <v>8</v>
      </c>
      <c r="J105" s="18"/>
      <c r="K105" s="18"/>
      <c r="L105" s="18"/>
      <c r="M105" s="18"/>
    </row>
    <row r="106" spans="1:13" x14ac:dyDescent="0.2">
      <c r="A106" s="18">
        <v>3934</v>
      </c>
      <c r="B106" s="18" t="s">
        <v>408</v>
      </c>
      <c r="C106" s="18">
        <v>252</v>
      </c>
      <c r="D106" s="18">
        <v>2000</v>
      </c>
      <c r="E106" s="18">
        <v>36</v>
      </c>
      <c r="F106" s="18"/>
      <c r="G106" s="8">
        <f t="shared" si="3"/>
        <v>72000</v>
      </c>
      <c r="H106" s="27">
        <f t="shared" si="4"/>
        <v>5.9523809523809521E-3</v>
      </c>
      <c r="I106" s="18">
        <v>1.5</v>
      </c>
      <c r="J106" s="18"/>
      <c r="K106" s="18"/>
      <c r="L106" s="18"/>
      <c r="M106" s="18"/>
    </row>
    <row r="107" spans="1:13" x14ac:dyDescent="0.2">
      <c r="A107" s="18">
        <v>3723</v>
      </c>
      <c r="B107" s="18" t="s">
        <v>395</v>
      </c>
      <c r="C107" s="18">
        <v>198</v>
      </c>
      <c r="D107" s="18">
        <v>2000</v>
      </c>
      <c r="E107" s="18">
        <v>42</v>
      </c>
      <c r="F107" s="18"/>
      <c r="G107" s="8">
        <f t="shared" si="3"/>
        <v>84000</v>
      </c>
      <c r="H107" s="27">
        <f t="shared" si="4"/>
        <v>0</v>
      </c>
      <c r="I107" s="18"/>
      <c r="J107" s="18">
        <v>8.1999999999999993</v>
      </c>
      <c r="K107" s="18"/>
      <c r="L107" s="18"/>
      <c r="M107" s="18"/>
    </row>
    <row r="108" spans="1:13" x14ac:dyDescent="0.2">
      <c r="A108" s="18">
        <v>4154</v>
      </c>
      <c r="B108" s="18" t="s">
        <v>871</v>
      </c>
      <c r="C108" s="18"/>
      <c r="D108" s="18"/>
      <c r="E108" s="18"/>
      <c r="F108" s="18">
        <v>50</v>
      </c>
      <c r="G108" s="8">
        <f t="shared" si="3"/>
        <v>50</v>
      </c>
      <c r="H108" s="27">
        <f t="shared" si="4"/>
        <v>0</v>
      </c>
      <c r="I108" s="18">
        <v>3.4</v>
      </c>
      <c r="J108" s="18"/>
      <c r="K108" s="18"/>
      <c r="L108" s="18"/>
      <c r="M108" s="18"/>
    </row>
    <row r="109" spans="1:13" x14ac:dyDescent="0.2">
      <c r="A109" s="18">
        <v>4100</v>
      </c>
      <c r="B109" s="18" t="s">
        <v>912</v>
      </c>
      <c r="C109" s="18">
        <v>423</v>
      </c>
      <c r="D109" s="18">
        <v>500</v>
      </c>
      <c r="E109" s="18">
        <v>30</v>
      </c>
      <c r="F109" s="18">
        <v>60</v>
      </c>
      <c r="G109" s="8">
        <f t="shared" si="3"/>
        <v>15060</v>
      </c>
      <c r="H109" s="27">
        <f t="shared" si="4"/>
        <v>1.1863959926179805E-2</v>
      </c>
      <c r="I109" s="18">
        <v>4.5</v>
      </c>
      <c r="J109" s="18">
        <v>8.3000000000000007</v>
      </c>
      <c r="K109" s="18"/>
      <c r="L109" s="18">
        <v>43.7</v>
      </c>
      <c r="M109" s="18"/>
    </row>
    <row r="110" spans="1:13" x14ac:dyDescent="0.2">
      <c r="A110" s="18">
        <v>4070</v>
      </c>
      <c r="B110" s="18" t="s">
        <v>913</v>
      </c>
      <c r="C110" s="18">
        <v>180</v>
      </c>
      <c r="D110" s="18">
        <v>1000</v>
      </c>
      <c r="E110" s="18">
        <v>29</v>
      </c>
      <c r="F110" s="18"/>
      <c r="G110" s="8">
        <f t="shared" si="3"/>
        <v>29000</v>
      </c>
      <c r="H110" s="27">
        <f t="shared" si="4"/>
        <v>1.4529374605180036E-2</v>
      </c>
      <c r="I110" s="18">
        <v>2.2999999999999998</v>
      </c>
      <c r="J110" s="18">
        <v>3.1</v>
      </c>
      <c r="K110" s="18"/>
      <c r="L110" s="18">
        <v>21.7</v>
      </c>
      <c r="M110" s="18"/>
    </row>
    <row r="111" spans="1:13" x14ac:dyDescent="0.2">
      <c r="A111" s="18">
        <v>4275</v>
      </c>
      <c r="B111" s="18" t="s">
        <v>771</v>
      </c>
      <c r="C111" s="18">
        <v>150</v>
      </c>
      <c r="D111" s="18">
        <v>4000</v>
      </c>
      <c r="E111" s="18">
        <v>8</v>
      </c>
      <c r="F111" s="18"/>
      <c r="G111" s="8">
        <f t="shared" si="3"/>
        <v>32000</v>
      </c>
      <c r="H111" s="27">
        <f t="shared" si="4"/>
        <v>0.01</v>
      </c>
      <c r="I111" s="18">
        <v>1.5</v>
      </c>
      <c r="J111" s="18">
        <v>4.8</v>
      </c>
      <c r="K111" s="18"/>
      <c r="L111" s="18"/>
      <c r="M111" s="18"/>
    </row>
    <row r="112" spans="1:13" x14ac:dyDescent="0.2">
      <c r="A112" s="18">
        <v>3934</v>
      </c>
      <c r="B112" s="18" t="s">
        <v>408</v>
      </c>
      <c r="C112" s="18">
        <v>417</v>
      </c>
      <c r="D112" s="18">
        <v>2000</v>
      </c>
      <c r="E112" s="18">
        <v>42</v>
      </c>
      <c r="F112" s="18"/>
      <c r="G112" s="8">
        <f t="shared" si="3"/>
        <v>84000</v>
      </c>
      <c r="H112" s="27">
        <f t="shared" si="4"/>
        <v>1.199040767386091E-3</v>
      </c>
      <c r="I112" s="18">
        <v>0.5</v>
      </c>
      <c r="J112" s="18"/>
      <c r="K112" s="18"/>
      <c r="L112" s="18"/>
      <c r="M112" s="18"/>
    </row>
    <row r="113" spans="1:13" x14ac:dyDescent="0.2">
      <c r="A113" s="18">
        <v>3723</v>
      </c>
      <c r="B113" s="18" t="s">
        <v>395</v>
      </c>
      <c r="C113" s="18">
        <v>237.6</v>
      </c>
      <c r="D113" s="18">
        <v>2000</v>
      </c>
      <c r="E113" s="18">
        <v>45</v>
      </c>
      <c r="F113" s="18"/>
      <c r="G113" s="8">
        <f t="shared" si="3"/>
        <v>90000</v>
      </c>
      <c r="H113" s="27">
        <f t="shared" si="4"/>
        <v>1.2205387205387205E-2</v>
      </c>
      <c r="I113" s="18">
        <v>2.9</v>
      </c>
      <c r="J113" s="18">
        <v>2.5</v>
      </c>
      <c r="K113" s="18"/>
      <c r="L113" s="18"/>
      <c r="M113" s="18"/>
    </row>
    <row r="114" spans="1:13" x14ac:dyDescent="0.2">
      <c r="A114" s="18">
        <v>4057</v>
      </c>
      <c r="B114" s="18" t="s">
        <v>412</v>
      </c>
      <c r="C114" s="18">
        <v>905.5</v>
      </c>
      <c r="D114" s="18">
        <v>500</v>
      </c>
      <c r="E114" s="18">
        <v>86</v>
      </c>
      <c r="F114" s="18"/>
      <c r="G114" s="8">
        <f t="shared" si="3"/>
        <v>43000</v>
      </c>
      <c r="H114" s="27">
        <f t="shared" si="4"/>
        <v>7.399226946438432E-3</v>
      </c>
      <c r="I114" s="18">
        <v>6.7</v>
      </c>
      <c r="J114" s="18"/>
      <c r="K114" s="18"/>
      <c r="L114" s="18"/>
      <c r="M114" s="18"/>
    </row>
    <row r="115" spans="1:13" x14ac:dyDescent="0.2">
      <c r="A115" s="18">
        <v>4169</v>
      </c>
      <c r="B115" s="18" t="s">
        <v>910</v>
      </c>
      <c r="C115" s="18">
        <v>207.8</v>
      </c>
      <c r="D115" s="18">
        <v>500</v>
      </c>
      <c r="E115" s="18">
        <v>14</v>
      </c>
      <c r="F115" s="18">
        <v>350</v>
      </c>
      <c r="G115" s="8">
        <f t="shared" si="3"/>
        <v>7350</v>
      </c>
      <c r="H115" s="27">
        <f t="shared" si="4"/>
        <v>1.9249278152069298E-3</v>
      </c>
      <c r="I115" s="18">
        <v>0.4</v>
      </c>
      <c r="J115" s="18"/>
      <c r="K115" s="18">
        <v>46.8</v>
      </c>
      <c r="L115" s="18"/>
      <c r="M115" s="18"/>
    </row>
    <row r="116" spans="1:13" x14ac:dyDescent="0.2">
      <c r="A116" s="18">
        <v>4103</v>
      </c>
      <c r="B116" s="18" t="s">
        <v>471</v>
      </c>
      <c r="C116" s="18">
        <v>94.9</v>
      </c>
      <c r="D116" s="18">
        <v>500</v>
      </c>
      <c r="E116" s="18">
        <v>10</v>
      </c>
      <c r="F116" s="18">
        <v>345</v>
      </c>
      <c r="G116" s="8">
        <f t="shared" si="3"/>
        <v>5345</v>
      </c>
      <c r="H116" s="27">
        <f t="shared" si="4"/>
        <v>3.0949839914621129E-2</v>
      </c>
      <c r="I116" s="18">
        <v>2.9</v>
      </c>
      <c r="J116" s="18"/>
      <c r="K116" s="18"/>
      <c r="L116" s="18">
        <v>1.2</v>
      </c>
      <c r="M116" s="18"/>
    </row>
    <row r="117" spans="1:13" x14ac:dyDescent="0.2">
      <c r="A117" s="18">
        <v>4094</v>
      </c>
      <c r="B117" s="18" t="s">
        <v>914</v>
      </c>
      <c r="C117" s="18">
        <v>239.7</v>
      </c>
      <c r="D117" s="18">
        <v>300</v>
      </c>
      <c r="E117" s="18">
        <v>17</v>
      </c>
      <c r="F117" s="18">
        <v>265</v>
      </c>
      <c r="G117" s="8">
        <f t="shared" si="3"/>
        <v>5365</v>
      </c>
      <c r="H117" s="27">
        <f t="shared" si="4"/>
        <v>1.8356278681685441E-2</v>
      </c>
      <c r="I117" s="18">
        <v>4.4000000000000004</v>
      </c>
      <c r="J117" s="18"/>
      <c r="K117" s="18"/>
      <c r="L117" s="18"/>
      <c r="M117" s="18"/>
    </row>
    <row r="118" spans="1:13" x14ac:dyDescent="0.2">
      <c r="A118" s="18">
        <v>4119</v>
      </c>
      <c r="B118" s="18" t="s">
        <v>915</v>
      </c>
      <c r="C118" s="18">
        <v>53.7</v>
      </c>
      <c r="D118" s="18">
        <v>4000</v>
      </c>
      <c r="E118" s="18">
        <v>4</v>
      </c>
      <c r="F118" s="18">
        <v>970</v>
      </c>
      <c r="G118" s="8">
        <f t="shared" si="3"/>
        <v>16970</v>
      </c>
      <c r="H118" s="27">
        <f t="shared" si="4"/>
        <v>1.1173184357541898E-2</v>
      </c>
      <c r="I118" s="18">
        <v>0.6</v>
      </c>
      <c r="J118" s="18"/>
      <c r="K118" s="18"/>
      <c r="L118" s="18"/>
      <c r="M118" s="18"/>
    </row>
    <row r="119" spans="1:13" x14ac:dyDescent="0.2">
      <c r="A119" s="18">
        <v>4120</v>
      </c>
      <c r="B119" s="18" t="s">
        <v>915</v>
      </c>
      <c r="C119" s="18">
        <v>27</v>
      </c>
      <c r="D119" s="18">
        <v>4000</v>
      </c>
      <c r="E119" s="18">
        <v>3</v>
      </c>
      <c r="F119" s="18"/>
      <c r="G119" s="8">
        <f t="shared" si="3"/>
        <v>12000</v>
      </c>
      <c r="H119" s="27">
        <f t="shared" si="4"/>
        <v>0</v>
      </c>
      <c r="I119" s="18"/>
      <c r="J119" s="18"/>
      <c r="K119" s="18"/>
      <c r="L119" s="18"/>
      <c r="M119" s="18"/>
    </row>
    <row r="120" spans="1:13" x14ac:dyDescent="0.2">
      <c r="A120" s="18">
        <v>4070</v>
      </c>
      <c r="B120" s="18" t="s">
        <v>916</v>
      </c>
      <c r="C120" s="18"/>
      <c r="D120" s="18">
        <v>1000</v>
      </c>
      <c r="E120" s="18">
        <v>71</v>
      </c>
      <c r="F120" s="18"/>
      <c r="G120" s="8">
        <f t="shared" si="3"/>
        <v>71000</v>
      </c>
      <c r="H120" s="27">
        <f t="shared" si="4"/>
        <v>-3.0965391621129327E-2</v>
      </c>
      <c r="I120" s="18">
        <v>1.7</v>
      </c>
      <c r="J120" s="18">
        <v>2.4</v>
      </c>
      <c r="K120" s="18"/>
      <c r="L120" s="18">
        <v>54.9</v>
      </c>
      <c r="M120" s="18"/>
    </row>
    <row r="121" spans="1:13" x14ac:dyDescent="0.2">
      <c r="A121" s="18">
        <v>4058</v>
      </c>
      <c r="B121" s="18" t="s">
        <v>446</v>
      </c>
      <c r="C121" s="18">
        <v>105.4</v>
      </c>
      <c r="D121" s="18">
        <v>500</v>
      </c>
      <c r="E121" s="18">
        <v>5</v>
      </c>
      <c r="F121" s="18"/>
      <c r="G121" s="8">
        <f t="shared" si="3"/>
        <v>2500</v>
      </c>
      <c r="H121" s="27">
        <f t="shared" si="4"/>
        <v>6.6413662239089176E-3</v>
      </c>
      <c r="I121" s="18">
        <v>0.7</v>
      </c>
      <c r="J121" s="18"/>
      <c r="K121" s="18"/>
      <c r="L121" s="18"/>
      <c r="M121" s="18"/>
    </row>
    <row r="122" spans="1:13" x14ac:dyDescent="0.2">
      <c r="A122" s="18">
        <v>4120</v>
      </c>
      <c r="B122" s="18" t="s">
        <v>915</v>
      </c>
      <c r="C122" s="18">
        <v>29</v>
      </c>
      <c r="D122" s="18">
        <v>4000</v>
      </c>
      <c r="E122" s="18">
        <v>1</v>
      </c>
      <c r="F122" s="18">
        <v>2500</v>
      </c>
      <c r="G122" s="8">
        <f t="shared" si="3"/>
        <v>6500</v>
      </c>
      <c r="H122" s="27">
        <f t="shared" si="4"/>
        <v>3.4482758620689659E-3</v>
      </c>
      <c r="I122" s="18">
        <v>0.1</v>
      </c>
      <c r="J122" s="18"/>
      <c r="K122" s="18"/>
      <c r="L122" s="18"/>
      <c r="M122" s="18"/>
    </row>
    <row r="123" spans="1:13" x14ac:dyDescent="0.2">
      <c r="A123" s="18">
        <v>4058</v>
      </c>
      <c r="B123" s="18" t="s">
        <v>917</v>
      </c>
      <c r="C123" s="18">
        <v>1164</v>
      </c>
      <c r="D123" s="18">
        <v>500</v>
      </c>
      <c r="E123" s="18">
        <v>76</v>
      </c>
      <c r="F123" s="18"/>
      <c r="G123" s="8">
        <f t="shared" si="3"/>
        <v>38000</v>
      </c>
      <c r="H123" s="27">
        <f t="shared" si="4"/>
        <v>5.1546391752577319E-3</v>
      </c>
      <c r="I123" s="18">
        <v>6</v>
      </c>
      <c r="J123" s="18"/>
      <c r="K123" s="18"/>
      <c r="L123" s="18"/>
      <c r="M123" s="18"/>
    </row>
    <row r="124" spans="1:13" x14ac:dyDescent="0.2">
      <c r="A124" s="18">
        <v>4070</v>
      </c>
      <c r="B124" s="18" t="s">
        <v>916</v>
      </c>
      <c r="C124" s="18">
        <v>345.2</v>
      </c>
      <c r="D124" s="18">
        <v>1000</v>
      </c>
      <c r="E124" s="18">
        <v>64</v>
      </c>
      <c r="F124" s="18">
        <v>650</v>
      </c>
      <c r="G124" s="8">
        <f t="shared" si="3"/>
        <v>64650</v>
      </c>
      <c r="H124" s="27">
        <f t="shared" si="4"/>
        <v>0</v>
      </c>
      <c r="I124" s="18"/>
      <c r="J124" s="18">
        <v>5.6</v>
      </c>
      <c r="K124" s="18"/>
      <c r="L124" s="18">
        <v>50.2</v>
      </c>
      <c r="M124" s="18"/>
    </row>
    <row r="125" spans="1:13" x14ac:dyDescent="0.2">
      <c r="A125" s="18">
        <v>3934</v>
      </c>
      <c r="B125" s="18" t="s">
        <v>408</v>
      </c>
      <c r="C125" s="18">
        <v>251</v>
      </c>
      <c r="D125" s="18">
        <v>2000</v>
      </c>
      <c r="E125" s="18">
        <v>22</v>
      </c>
      <c r="F125" s="18">
        <v>600</v>
      </c>
      <c r="G125" s="8">
        <f t="shared" si="3"/>
        <v>44600</v>
      </c>
      <c r="H125" s="27">
        <f t="shared" si="4"/>
        <v>6.7729083665338643E-3</v>
      </c>
      <c r="I125" s="18">
        <v>1.7</v>
      </c>
      <c r="J125" s="18"/>
      <c r="K125" s="18"/>
      <c r="L125" s="18"/>
      <c r="M125" s="18"/>
    </row>
    <row r="126" spans="1:13" x14ac:dyDescent="0.2">
      <c r="A126" s="18">
        <v>3723</v>
      </c>
      <c r="B126" s="18" t="s">
        <v>395</v>
      </c>
      <c r="C126" s="18">
        <v>77.8</v>
      </c>
      <c r="D126" s="18">
        <v>2000</v>
      </c>
      <c r="E126" s="18">
        <v>15</v>
      </c>
      <c r="F126" s="18">
        <v>1950</v>
      </c>
      <c r="G126" s="8">
        <f t="shared" si="3"/>
        <v>31950</v>
      </c>
      <c r="H126" s="27">
        <f t="shared" si="4"/>
        <v>0</v>
      </c>
      <c r="I126" s="18"/>
      <c r="J126" s="18"/>
      <c r="K126" s="18"/>
      <c r="L126" s="18"/>
      <c r="M126" s="18"/>
    </row>
    <row r="127" spans="1:13" x14ac:dyDescent="0.2">
      <c r="A127" s="18">
        <v>4208</v>
      </c>
      <c r="B127" s="18" t="s">
        <v>918</v>
      </c>
      <c r="C127" s="18">
        <v>278.5</v>
      </c>
      <c r="D127" s="18">
        <v>150</v>
      </c>
      <c r="E127" s="18">
        <v>31</v>
      </c>
      <c r="F127" s="18">
        <v>44</v>
      </c>
      <c r="G127" s="8">
        <f t="shared" si="3"/>
        <v>4694</v>
      </c>
      <c r="H127" s="27">
        <f t="shared" si="4"/>
        <v>8.9766606822262122E-3</v>
      </c>
      <c r="I127" s="18">
        <v>2.5</v>
      </c>
      <c r="J127" s="18"/>
      <c r="K127" s="18"/>
      <c r="L127" s="18"/>
      <c r="M127" s="18"/>
    </row>
    <row r="128" spans="1:13" x14ac:dyDescent="0.2">
      <c r="A128" s="18">
        <v>4061</v>
      </c>
      <c r="B128" s="18" t="s">
        <v>464</v>
      </c>
      <c r="C128" s="18"/>
      <c r="D128" s="18">
        <v>4000</v>
      </c>
      <c r="E128" s="18">
        <v>2</v>
      </c>
      <c r="F128" s="18"/>
      <c r="G128" s="8">
        <f t="shared" si="3"/>
        <v>8000</v>
      </c>
      <c r="H128" s="27">
        <f t="shared" si="4"/>
        <v>0</v>
      </c>
      <c r="I128" s="18"/>
      <c r="J128" s="18"/>
      <c r="K128" s="18"/>
      <c r="L128" s="18"/>
      <c r="M128" s="18"/>
    </row>
    <row r="129" spans="1:13" x14ac:dyDescent="0.2">
      <c r="A129" s="18">
        <v>4270</v>
      </c>
      <c r="B129" s="18" t="s">
        <v>169</v>
      </c>
      <c r="C129" s="18">
        <v>285</v>
      </c>
      <c r="D129" s="18">
        <v>500</v>
      </c>
      <c r="E129" s="18">
        <v>21</v>
      </c>
      <c r="F129" s="18"/>
      <c r="G129" s="8">
        <f t="shared" si="3"/>
        <v>10500</v>
      </c>
      <c r="H129" s="27">
        <f t="shared" si="4"/>
        <v>4.2105263157894736E-2</v>
      </c>
      <c r="I129" s="18">
        <v>12</v>
      </c>
      <c r="J129" s="18"/>
      <c r="K129" s="18"/>
      <c r="L129" s="18"/>
      <c r="M129" s="18"/>
    </row>
    <row r="130" spans="1:13" x14ac:dyDescent="0.2">
      <c r="A130" s="18">
        <v>4269</v>
      </c>
      <c r="B130" s="18" t="s">
        <v>393</v>
      </c>
      <c r="C130" s="18">
        <v>74.2</v>
      </c>
      <c r="D130" s="18">
        <v>500</v>
      </c>
      <c r="E130" s="18">
        <v>11</v>
      </c>
      <c r="F130" s="18">
        <v>370</v>
      </c>
      <c r="G130" s="8">
        <f t="shared" si="3"/>
        <v>5870</v>
      </c>
      <c r="H130" s="27">
        <f t="shared" si="4"/>
        <v>9.433962264150943E-3</v>
      </c>
      <c r="I130" s="18">
        <v>0.7</v>
      </c>
      <c r="J130" s="18"/>
      <c r="K130" s="18"/>
      <c r="L130" s="18"/>
      <c r="M130" s="18"/>
    </row>
    <row r="131" spans="1:13" x14ac:dyDescent="0.2">
      <c r="A131" s="18">
        <v>4235</v>
      </c>
      <c r="B131" s="18" t="s">
        <v>234</v>
      </c>
      <c r="C131" s="18">
        <v>370.7</v>
      </c>
      <c r="D131" s="18">
        <v>1000</v>
      </c>
      <c r="E131" s="18">
        <v>26</v>
      </c>
      <c r="F131" s="18"/>
      <c r="G131" s="8">
        <f t="shared" ref="G131:G194" si="5">D131*E131+F131</f>
        <v>26000</v>
      </c>
      <c r="H131" s="27">
        <f t="shared" si="4"/>
        <v>1.6185594820609658E-2</v>
      </c>
      <c r="I131" s="18">
        <v>6</v>
      </c>
      <c r="J131" s="18"/>
      <c r="K131" s="18"/>
      <c r="L131" s="18"/>
      <c r="M131" s="18"/>
    </row>
    <row r="132" spans="1:13" x14ac:dyDescent="0.2">
      <c r="A132" s="18">
        <v>4101</v>
      </c>
      <c r="B132" s="18" t="s">
        <v>919</v>
      </c>
      <c r="C132" s="18">
        <v>597.9</v>
      </c>
      <c r="D132" s="18">
        <v>500</v>
      </c>
      <c r="E132" s="18">
        <v>67</v>
      </c>
      <c r="F132" s="18">
        <v>150</v>
      </c>
      <c r="G132" s="8">
        <f t="shared" si="5"/>
        <v>33650</v>
      </c>
      <c r="H132" s="27">
        <f t="shared" si="4"/>
        <v>1.518354795310398E-2</v>
      </c>
      <c r="I132" s="18">
        <v>7.9</v>
      </c>
      <c r="J132" s="18">
        <v>7.1</v>
      </c>
      <c r="K132" s="18">
        <v>29.7</v>
      </c>
      <c r="L132" s="18">
        <v>77.599999999999994</v>
      </c>
      <c r="M132" s="18"/>
    </row>
    <row r="133" spans="1:13" x14ac:dyDescent="0.2">
      <c r="A133" s="18">
        <v>4087</v>
      </c>
      <c r="B133" s="18" t="s">
        <v>631</v>
      </c>
      <c r="C133" s="18">
        <v>176.6</v>
      </c>
      <c r="D133" s="18">
        <v>2000</v>
      </c>
      <c r="E133" s="18">
        <v>26</v>
      </c>
      <c r="F133" s="18"/>
      <c r="G133" s="8">
        <f t="shared" si="5"/>
        <v>52000</v>
      </c>
      <c r="H133" s="27">
        <f t="shared" si="4"/>
        <v>2.2650056625141565E-2</v>
      </c>
      <c r="I133" s="18">
        <v>4</v>
      </c>
      <c r="J133" s="18"/>
      <c r="K133" s="18"/>
      <c r="L133" s="18"/>
      <c r="M133" s="18"/>
    </row>
    <row r="134" spans="1:13" x14ac:dyDescent="0.2">
      <c r="A134" s="18">
        <v>4320</v>
      </c>
      <c r="B134" s="18" t="s">
        <v>920</v>
      </c>
      <c r="C134" s="18">
        <v>450</v>
      </c>
      <c r="D134" s="18">
        <v>500</v>
      </c>
      <c r="E134" s="18">
        <v>41</v>
      </c>
      <c r="F134" s="18">
        <v>300</v>
      </c>
      <c r="G134" s="8">
        <f t="shared" si="5"/>
        <v>20800</v>
      </c>
      <c r="H134" s="27">
        <f t="shared" si="4"/>
        <v>2.0444444444444442E-2</v>
      </c>
      <c r="I134" s="18">
        <v>9.1999999999999993</v>
      </c>
      <c r="J134" s="18"/>
      <c r="K134" s="18"/>
      <c r="L134" s="18"/>
      <c r="M134" s="18"/>
    </row>
    <row r="135" spans="1:13" x14ac:dyDescent="0.2">
      <c r="A135" s="18">
        <v>4072</v>
      </c>
      <c r="B135" s="18" t="s">
        <v>633</v>
      </c>
      <c r="C135" s="18">
        <v>696</v>
      </c>
      <c r="D135" s="18">
        <v>400</v>
      </c>
      <c r="E135" s="18">
        <v>46</v>
      </c>
      <c r="F135" s="18">
        <v>200</v>
      </c>
      <c r="G135" s="8">
        <f t="shared" si="5"/>
        <v>18600</v>
      </c>
      <c r="H135" s="27">
        <f t="shared" si="4"/>
        <v>3.5632183908045977E-2</v>
      </c>
      <c r="I135" s="18">
        <v>24.8</v>
      </c>
      <c r="J135" s="18">
        <v>7.8</v>
      </c>
      <c r="K135" s="18">
        <v>20.3</v>
      </c>
      <c r="L135" s="18"/>
      <c r="M135" s="18"/>
    </row>
    <row r="136" spans="1:13" x14ac:dyDescent="0.2">
      <c r="A136" s="18">
        <v>4197</v>
      </c>
      <c r="B136" s="18" t="s">
        <v>921</v>
      </c>
      <c r="C136" s="18">
        <v>51.7</v>
      </c>
      <c r="D136" s="18">
        <v>2000</v>
      </c>
      <c r="E136" s="18">
        <v>5</v>
      </c>
      <c r="F136" s="18"/>
      <c r="G136" s="8">
        <f t="shared" si="5"/>
        <v>10000</v>
      </c>
      <c r="H136" s="27">
        <f t="shared" si="4"/>
        <v>5.4158607350096706E-2</v>
      </c>
      <c r="I136" s="18">
        <v>2.8</v>
      </c>
      <c r="J136" s="18"/>
      <c r="K136" s="18"/>
      <c r="L136" s="18"/>
      <c r="M136" s="18"/>
    </row>
    <row r="137" spans="1:13" x14ac:dyDescent="0.2">
      <c r="A137" s="18">
        <v>4348</v>
      </c>
      <c r="B137" s="18" t="s">
        <v>922</v>
      </c>
      <c r="C137" s="18">
        <v>25.5</v>
      </c>
      <c r="D137" s="18">
        <v>400</v>
      </c>
      <c r="E137" s="18">
        <v>2</v>
      </c>
      <c r="F137" s="18"/>
      <c r="G137" s="8">
        <f t="shared" si="5"/>
        <v>800</v>
      </c>
      <c r="H137" s="27">
        <f t="shared" si="4"/>
        <v>8.2352941176470587E-2</v>
      </c>
      <c r="I137" s="18">
        <v>2.1</v>
      </c>
      <c r="J137" s="18"/>
      <c r="K137" s="18"/>
      <c r="L137" s="18"/>
      <c r="M137" s="18"/>
    </row>
    <row r="138" spans="1:13" x14ac:dyDescent="0.2">
      <c r="A138" s="18">
        <v>4058</v>
      </c>
      <c r="B138" s="18" t="s">
        <v>917</v>
      </c>
      <c r="C138" s="18">
        <v>2012</v>
      </c>
      <c r="D138" s="18">
        <v>500</v>
      </c>
      <c r="E138" s="18">
        <v>125</v>
      </c>
      <c r="F138" s="18"/>
      <c r="G138" s="8">
        <f t="shared" si="5"/>
        <v>62500</v>
      </c>
      <c r="H138" s="27">
        <f t="shared" si="4"/>
        <v>4.4234592445328031E-3</v>
      </c>
      <c r="I138" s="18">
        <v>8.9</v>
      </c>
      <c r="J138" s="18"/>
      <c r="K138" s="18">
        <v>11.5</v>
      </c>
      <c r="L138" s="18"/>
      <c r="M138" s="18"/>
    </row>
    <row r="139" spans="1:13" x14ac:dyDescent="0.2">
      <c r="A139" s="18">
        <v>4061</v>
      </c>
      <c r="B139" s="18" t="s">
        <v>464</v>
      </c>
      <c r="C139" s="18">
        <v>124</v>
      </c>
      <c r="D139" s="18">
        <v>4000</v>
      </c>
      <c r="E139" s="18">
        <v>19</v>
      </c>
      <c r="F139" s="18">
        <v>2000</v>
      </c>
      <c r="G139" s="8">
        <f t="shared" si="5"/>
        <v>78000</v>
      </c>
      <c r="H139" s="27">
        <f t="shared" si="4"/>
        <v>3.7096774193548385E-2</v>
      </c>
      <c r="I139" s="18">
        <v>4.5999999999999996</v>
      </c>
      <c r="J139" s="18"/>
      <c r="K139" s="18"/>
      <c r="L139" s="18"/>
      <c r="M139" s="18"/>
    </row>
    <row r="140" spans="1:13" x14ac:dyDescent="0.2">
      <c r="A140" s="18">
        <v>4087</v>
      </c>
      <c r="B140" s="18" t="s">
        <v>631</v>
      </c>
      <c r="C140" s="18">
        <v>34.299999999999997</v>
      </c>
      <c r="D140" s="18">
        <v>2000</v>
      </c>
      <c r="E140" s="18">
        <v>9</v>
      </c>
      <c r="F140" s="18">
        <v>900</v>
      </c>
      <c r="G140" s="8">
        <f t="shared" si="5"/>
        <v>18900</v>
      </c>
      <c r="H140" s="27">
        <f t="shared" si="4"/>
        <v>0</v>
      </c>
      <c r="I140" s="18"/>
      <c r="J140" s="18">
        <v>1.4</v>
      </c>
      <c r="K140" s="18"/>
      <c r="L140" s="18"/>
      <c r="M140" s="18"/>
    </row>
    <row r="141" spans="1:13" x14ac:dyDescent="0.2">
      <c r="A141" s="18">
        <v>4224</v>
      </c>
      <c r="B141" s="18" t="s">
        <v>459</v>
      </c>
      <c r="C141" s="18">
        <v>735.3</v>
      </c>
      <c r="D141" s="18">
        <v>250</v>
      </c>
      <c r="E141" s="18">
        <v>65</v>
      </c>
      <c r="F141" s="18"/>
      <c r="G141" s="8">
        <f t="shared" si="5"/>
        <v>16250</v>
      </c>
      <c r="H141" s="27">
        <f t="shared" si="4"/>
        <v>8.5679314565483486E-3</v>
      </c>
      <c r="I141" s="18">
        <v>6.3</v>
      </c>
      <c r="J141" s="18"/>
      <c r="K141" s="18"/>
      <c r="L141" s="18"/>
      <c r="M141" s="18"/>
    </row>
    <row r="142" spans="1:13" x14ac:dyDescent="0.2">
      <c r="A142" s="18">
        <v>4106</v>
      </c>
      <c r="B142" s="18" t="s">
        <v>923</v>
      </c>
      <c r="C142" s="18">
        <v>245</v>
      </c>
      <c r="D142" s="18">
        <v>500</v>
      </c>
      <c r="E142" s="18">
        <v>38</v>
      </c>
      <c r="F142" s="18">
        <v>340</v>
      </c>
      <c r="G142" s="8">
        <f t="shared" si="5"/>
        <v>19340</v>
      </c>
      <c r="H142" s="27">
        <f t="shared" si="4"/>
        <v>1.9783325482807347E-2</v>
      </c>
      <c r="I142" s="18">
        <v>4.2</v>
      </c>
      <c r="J142" s="18">
        <v>5</v>
      </c>
      <c r="K142" s="18"/>
      <c r="L142" s="18">
        <v>32.700000000000003</v>
      </c>
      <c r="M142" s="18"/>
    </row>
    <row r="143" spans="1:13" x14ac:dyDescent="0.2">
      <c r="A143" s="18">
        <v>4080</v>
      </c>
      <c r="B143" s="18" t="s">
        <v>924</v>
      </c>
      <c r="C143" s="18">
        <v>240.5</v>
      </c>
      <c r="D143" s="18">
        <v>500</v>
      </c>
      <c r="E143" s="18">
        <v>33</v>
      </c>
      <c r="F143" s="18">
        <v>270</v>
      </c>
      <c r="G143" s="8">
        <f t="shared" si="5"/>
        <v>16770</v>
      </c>
      <c r="H143" s="27">
        <f t="shared" si="4"/>
        <v>1.9523809523809523E-2</v>
      </c>
      <c r="I143" s="18">
        <v>4.0999999999999996</v>
      </c>
      <c r="J143" s="18">
        <v>10</v>
      </c>
      <c r="K143" s="18"/>
      <c r="L143" s="18">
        <v>30.5</v>
      </c>
      <c r="M143" s="18"/>
    </row>
    <row r="144" spans="1:13" x14ac:dyDescent="0.2">
      <c r="A144" s="18">
        <v>4154</v>
      </c>
      <c r="B144" s="18" t="s">
        <v>871</v>
      </c>
      <c r="C144" s="18"/>
      <c r="D144" s="18">
        <v>100</v>
      </c>
      <c r="E144" s="18">
        <v>1</v>
      </c>
      <c r="F144" s="18"/>
      <c r="G144" s="8">
        <f t="shared" si="5"/>
        <v>100</v>
      </c>
      <c r="H144" s="27">
        <f t="shared" si="4"/>
        <v>0</v>
      </c>
      <c r="I144" s="18"/>
      <c r="J144" s="18"/>
      <c r="K144" s="18"/>
      <c r="L144" s="18">
        <v>4</v>
      </c>
      <c r="M144" s="18"/>
    </row>
    <row r="145" spans="1:13" x14ac:dyDescent="0.2">
      <c r="A145" s="18">
        <v>4275</v>
      </c>
      <c r="B145" s="18" t="s">
        <v>771</v>
      </c>
      <c r="C145" s="18">
        <v>103</v>
      </c>
      <c r="D145" s="18">
        <v>4000</v>
      </c>
      <c r="E145" s="18">
        <v>6</v>
      </c>
      <c r="F145" s="18">
        <v>2600</v>
      </c>
      <c r="G145" s="8">
        <f t="shared" si="5"/>
        <v>26600</v>
      </c>
      <c r="H145" s="27">
        <f t="shared" si="4"/>
        <v>4.8543689320388349E-2</v>
      </c>
      <c r="I145" s="18">
        <v>5</v>
      </c>
      <c r="J145" s="18"/>
      <c r="K145" s="18"/>
      <c r="L145" s="18"/>
      <c r="M145" s="18"/>
    </row>
    <row r="146" spans="1:13" x14ac:dyDescent="0.2">
      <c r="A146" s="18">
        <v>4062</v>
      </c>
      <c r="B146" s="18" t="s">
        <v>483</v>
      </c>
      <c r="C146" s="18">
        <v>67.5</v>
      </c>
      <c r="D146" s="18">
        <v>6000</v>
      </c>
      <c r="E146" s="18">
        <v>12</v>
      </c>
      <c r="F146" s="18"/>
      <c r="G146" s="8">
        <f t="shared" si="5"/>
        <v>72000</v>
      </c>
      <c r="H146" s="27">
        <f t="shared" si="4"/>
        <v>1.4814814814814815E-2</v>
      </c>
      <c r="I146" s="18">
        <v>1</v>
      </c>
      <c r="J146" s="18"/>
      <c r="K146" s="18">
        <v>7</v>
      </c>
      <c r="L146" s="18"/>
      <c r="M146" s="18"/>
    </row>
    <row r="147" spans="1:13" x14ac:dyDescent="0.2">
      <c r="A147" s="18">
        <v>4224</v>
      </c>
      <c r="B147" s="18" t="s">
        <v>459</v>
      </c>
      <c r="C147" s="18">
        <v>149.80000000000001</v>
      </c>
      <c r="D147" s="18">
        <v>250</v>
      </c>
      <c r="E147" s="18">
        <v>15</v>
      </c>
      <c r="F147" s="18"/>
      <c r="G147" s="8">
        <f t="shared" si="5"/>
        <v>3750</v>
      </c>
      <c r="H147" s="27">
        <f t="shared" si="4"/>
        <v>5.3404539385847796E-3</v>
      </c>
      <c r="I147" s="18">
        <v>0.8</v>
      </c>
      <c r="J147" s="18"/>
      <c r="K147" s="18"/>
      <c r="L147" s="18"/>
      <c r="M147" s="18"/>
    </row>
    <row r="148" spans="1:13" x14ac:dyDescent="0.2">
      <c r="A148" s="18">
        <v>4222</v>
      </c>
      <c r="B148" s="18" t="s">
        <v>302</v>
      </c>
      <c r="C148" s="18">
        <v>358.2</v>
      </c>
      <c r="D148" s="18">
        <v>250</v>
      </c>
      <c r="E148" s="18">
        <v>31</v>
      </c>
      <c r="F148" s="18">
        <v>140</v>
      </c>
      <c r="G148" s="8">
        <f t="shared" si="5"/>
        <v>7890</v>
      </c>
      <c r="H148" s="27">
        <f t="shared" si="4"/>
        <v>4.8576214405360134E-2</v>
      </c>
      <c r="I148" s="18">
        <v>17.399999999999999</v>
      </c>
      <c r="J148" s="18">
        <v>11</v>
      </c>
      <c r="K148" s="18"/>
      <c r="L148" s="18"/>
      <c r="M148" s="18" t="s">
        <v>925</v>
      </c>
    </row>
    <row r="149" spans="1:13" x14ac:dyDescent="0.2">
      <c r="A149" s="18">
        <v>4253</v>
      </c>
      <c r="B149" s="18" t="s">
        <v>926</v>
      </c>
      <c r="C149" s="18">
        <v>49</v>
      </c>
      <c r="D149" s="18">
        <v>2000</v>
      </c>
      <c r="E149" s="18">
        <v>14</v>
      </c>
      <c r="F149" s="18"/>
      <c r="G149" s="8">
        <f t="shared" si="5"/>
        <v>28000</v>
      </c>
      <c r="H149" s="27">
        <f t="shared" si="4"/>
        <v>1.020408163265306E-2</v>
      </c>
      <c r="I149" s="18">
        <v>0.5</v>
      </c>
      <c r="J149" s="18"/>
      <c r="K149" s="18"/>
      <c r="L149" s="18"/>
      <c r="M149" s="18"/>
    </row>
    <row r="150" spans="1:13" x14ac:dyDescent="0.2">
      <c r="A150" s="18">
        <v>4154</v>
      </c>
      <c r="B150" s="18" t="s">
        <v>871</v>
      </c>
      <c r="C150" s="18"/>
      <c r="D150" s="18">
        <v>45</v>
      </c>
      <c r="E150" s="18">
        <v>1</v>
      </c>
      <c r="F150" s="18"/>
      <c r="G150" s="8">
        <f t="shared" si="5"/>
        <v>45</v>
      </c>
      <c r="H150" s="27">
        <f t="shared" si="4"/>
        <v>0</v>
      </c>
      <c r="I150" s="18"/>
      <c r="J150" s="18"/>
      <c r="K150" s="18"/>
      <c r="L150" s="18">
        <v>2.4</v>
      </c>
      <c r="M150" s="18"/>
    </row>
    <row r="151" spans="1:13" x14ac:dyDescent="0.2">
      <c r="A151" s="18">
        <v>4196</v>
      </c>
      <c r="B151" s="18" t="s">
        <v>927</v>
      </c>
      <c r="C151" s="18">
        <v>398.6</v>
      </c>
      <c r="D151" s="18">
        <v>800</v>
      </c>
      <c r="E151" s="18">
        <v>30</v>
      </c>
      <c r="F151" s="18">
        <v>560</v>
      </c>
      <c r="G151" s="8">
        <f t="shared" si="5"/>
        <v>24560</v>
      </c>
      <c r="H151" s="27">
        <f t="shared" si="4"/>
        <v>7.2754641244355241E-3</v>
      </c>
      <c r="I151" s="18">
        <v>2.9</v>
      </c>
      <c r="J151" s="18"/>
      <c r="K151" s="18"/>
      <c r="L151" s="18"/>
      <c r="M151" s="18"/>
    </row>
    <row r="152" spans="1:13" x14ac:dyDescent="0.2">
      <c r="A152" s="18">
        <v>4167</v>
      </c>
      <c r="B152" s="18" t="s">
        <v>928</v>
      </c>
      <c r="C152" s="18">
        <v>127.9</v>
      </c>
      <c r="D152" s="18">
        <v>700</v>
      </c>
      <c r="E152" s="18">
        <v>10</v>
      </c>
      <c r="F152" s="18">
        <v>350</v>
      </c>
      <c r="G152" s="8">
        <f t="shared" si="5"/>
        <v>7350</v>
      </c>
      <c r="H152" s="27">
        <f t="shared" si="4"/>
        <v>5.4730258014073488E-3</v>
      </c>
      <c r="I152" s="18">
        <v>0.7</v>
      </c>
      <c r="J152" s="18"/>
      <c r="K152" s="18"/>
      <c r="L152" s="18"/>
      <c r="M152" s="18"/>
    </row>
    <row r="153" spans="1:13" x14ac:dyDescent="0.2">
      <c r="A153" s="18">
        <v>4341</v>
      </c>
      <c r="B153" s="18" t="s">
        <v>929</v>
      </c>
      <c r="C153" s="18">
        <v>1011.8</v>
      </c>
      <c r="D153" s="18">
        <v>500</v>
      </c>
      <c r="E153" s="18">
        <v>70</v>
      </c>
      <c r="F153" s="18"/>
      <c r="G153" s="8">
        <f t="shared" si="5"/>
        <v>35000</v>
      </c>
      <c r="H153" s="27">
        <f t="shared" si="4"/>
        <v>4.5463530341964811E-3</v>
      </c>
      <c r="I153" s="18">
        <v>4.5999999999999996</v>
      </c>
      <c r="J153" s="18"/>
      <c r="K153" s="18"/>
      <c r="L153" s="18"/>
      <c r="M153" s="18"/>
    </row>
    <row r="154" spans="1:13" x14ac:dyDescent="0.2">
      <c r="A154" s="18">
        <v>4058</v>
      </c>
      <c r="B154" s="18" t="s">
        <v>446</v>
      </c>
      <c r="C154" s="18">
        <v>54</v>
      </c>
      <c r="D154" s="18">
        <v>500</v>
      </c>
      <c r="E154" s="18">
        <v>4</v>
      </c>
      <c r="F154" s="18"/>
      <c r="G154" s="8">
        <f t="shared" si="5"/>
        <v>2000</v>
      </c>
      <c r="H154" s="27">
        <f t="shared" si="4"/>
        <v>1.4814814814814815E-2</v>
      </c>
      <c r="I154" s="18">
        <v>0.8</v>
      </c>
      <c r="J154" s="18"/>
      <c r="K154" s="18"/>
      <c r="L154" s="18"/>
      <c r="M154" s="18"/>
    </row>
    <row r="155" spans="1:13" x14ac:dyDescent="0.2">
      <c r="A155" s="18">
        <v>4109</v>
      </c>
      <c r="B155" s="18" t="s">
        <v>873</v>
      </c>
      <c r="C155" s="18">
        <v>274.39999999999998</v>
      </c>
      <c r="D155" s="18">
        <v>2600</v>
      </c>
      <c r="E155" s="18">
        <v>22</v>
      </c>
      <c r="F155" s="18">
        <v>1965</v>
      </c>
      <c r="G155" s="8">
        <f t="shared" si="5"/>
        <v>59165</v>
      </c>
      <c r="H155" s="27">
        <f t="shared" si="4"/>
        <v>5.1020408163265311E-3</v>
      </c>
      <c r="I155" s="18">
        <v>1.4</v>
      </c>
      <c r="J155" s="18"/>
      <c r="K155" s="18"/>
      <c r="L155" s="18"/>
      <c r="M155" s="18"/>
    </row>
    <row r="156" spans="1:13" x14ac:dyDescent="0.2">
      <c r="A156" s="18">
        <v>4261</v>
      </c>
      <c r="B156" s="18" t="s">
        <v>930</v>
      </c>
      <c r="C156" s="18">
        <v>298.8</v>
      </c>
      <c r="D156" s="18">
        <v>600</v>
      </c>
      <c r="E156" s="18">
        <v>26</v>
      </c>
      <c r="F156" s="18">
        <v>95</v>
      </c>
      <c r="G156" s="8">
        <f t="shared" si="5"/>
        <v>15695</v>
      </c>
      <c r="H156" s="27">
        <f t="shared" si="4"/>
        <v>0</v>
      </c>
      <c r="I156" s="18"/>
      <c r="J156" s="18"/>
      <c r="K156" s="18"/>
      <c r="L156" s="18"/>
      <c r="M156" s="18"/>
    </row>
    <row r="157" spans="1:13" x14ac:dyDescent="0.2">
      <c r="A157" s="18">
        <v>4138</v>
      </c>
      <c r="B157" s="18" t="s">
        <v>931</v>
      </c>
      <c r="C157" s="18">
        <v>54</v>
      </c>
      <c r="D157" s="18">
        <v>4000</v>
      </c>
      <c r="E157" s="18">
        <v>4</v>
      </c>
      <c r="F157" s="18"/>
      <c r="G157" s="8">
        <f t="shared" si="5"/>
        <v>16000</v>
      </c>
      <c r="H157" s="27">
        <f t="shared" si="4"/>
        <v>3.1481481481481478E-2</v>
      </c>
      <c r="I157" s="18">
        <v>1.7</v>
      </c>
      <c r="J157" s="18"/>
      <c r="K157" s="18"/>
      <c r="L157" s="18"/>
      <c r="M157" s="18"/>
    </row>
    <row r="158" spans="1:13" x14ac:dyDescent="0.2">
      <c r="A158" s="18">
        <v>4341</v>
      </c>
      <c r="B158" s="18" t="s">
        <v>929</v>
      </c>
      <c r="C158" s="18">
        <v>845.6</v>
      </c>
      <c r="D158" s="18">
        <v>500</v>
      </c>
      <c r="E158" s="18">
        <v>57</v>
      </c>
      <c r="F158" s="18">
        <v>100</v>
      </c>
      <c r="G158" s="8">
        <f t="shared" si="5"/>
        <v>28600</v>
      </c>
      <c r="H158" s="27">
        <f t="shared" si="4"/>
        <v>1.3008514664143803E-2</v>
      </c>
      <c r="I158" s="18">
        <v>11</v>
      </c>
      <c r="J158" s="18"/>
      <c r="K158" s="18">
        <v>10.5</v>
      </c>
      <c r="L158" s="18"/>
      <c r="M158" s="18"/>
    </row>
    <row r="159" spans="1:13" x14ac:dyDescent="0.2">
      <c r="A159" s="18">
        <v>4138</v>
      </c>
      <c r="B159" s="18" t="s">
        <v>931</v>
      </c>
      <c r="C159" s="18">
        <v>129</v>
      </c>
      <c r="D159" s="18">
        <v>4000</v>
      </c>
      <c r="E159" s="18">
        <v>11</v>
      </c>
      <c r="F159" s="18">
        <v>2000</v>
      </c>
      <c r="G159" s="8">
        <f t="shared" si="5"/>
        <v>46000</v>
      </c>
      <c r="H159" s="27">
        <f t="shared" si="4"/>
        <v>1.2403100775193798E-2</v>
      </c>
      <c r="I159" s="18">
        <v>1.6</v>
      </c>
      <c r="J159" s="18"/>
      <c r="K159" s="18"/>
      <c r="L159" s="18"/>
      <c r="M159" s="18"/>
    </row>
    <row r="160" spans="1:13" x14ac:dyDescent="0.2">
      <c r="A160" s="18">
        <v>4231</v>
      </c>
      <c r="B160" s="18" t="s">
        <v>932</v>
      </c>
      <c r="C160" s="18">
        <v>666.3</v>
      </c>
      <c r="D160" s="18">
        <v>500</v>
      </c>
      <c r="E160" s="18">
        <v>141</v>
      </c>
      <c r="F160" s="18"/>
      <c r="G160" s="8">
        <f t="shared" si="5"/>
        <v>70500</v>
      </c>
      <c r="H160" s="27">
        <f t="shared" si="4"/>
        <v>1.0942463819272857E-2</v>
      </c>
      <c r="I160" s="18">
        <v>6.2</v>
      </c>
      <c r="J160" s="18">
        <v>7.4</v>
      </c>
      <c r="K160" s="18"/>
      <c r="L160" s="18">
        <v>99.7</v>
      </c>
      <c r="M160" s="18"/>
    </row>
    <row r="161" spans="1:13" x14ac:dyDescent="0.2">
      <c r="A161" s="18">
        <v>4062</v>
      </c>
      <c r="B161" s="18" t="s">
        <v>483</v>
      </c>
      <c r="C161" s="18">
        <v>89.3</v>
      </c>
      <c r="D161" s="18">
        <v>6000</v>
      </c>
      <c r="E161" s="18">
        <v>9</v>
      </c>
      <c r="F161" s="18">
        <v>4300</v>
      </c>
      <c r="G161" s="8">
        <f t="shared" si="5"/>
        <v>58300</v>
      </c>
      <c r="H161" s="27">
        <f t="shared" si="4"/>
        <v>7.8387458006718928E-3</v>
      </c>
      <c r="I161" s="18">
        <v>0.7</v>
      </c>
      <c r="J161" s="18"/>
      <c r="K161" s="18">
        <v>1.7</v>
      </c>
      <c r="L161" s="18"/>
      <c r="M161" s="18"/>
    </row>
    <row r="162" spans="1:13" x14ac:dyDescent="0.2">
      <c r="A162" s="18">
        <v>4253</v>
      </c>
      <c r="B162" s="18" t="s">
        <v>926</v>
      </c>
      <c r="C162" s="18">
        <v>68</v>
      </c>
      <c r="D162" s="18">
        <v>2000</v>
      </c>
      <c r="E162" s="18">
        <v>18</v>
      </c>
      <c r="F162" s="18"/>
      <c r="G162" s="8">
        <f t="shared" si="5"/>
        <v>36000</v>
      </c>
      <c r="H162" s="27">
        <f t="shared" si="4"/>
        <v>0</v>
      </c>
      <c r="I162" s="18"/>
      <c r="J162" s="18"/>
      <c r="K162" s="18"/>
      <c r="L162" s="18"/>
      <c r="M162" s="18"/>
    </row>
    <row r="163" spans="1:13" x14ac:dyDescent="0.2">
      <c r="A163" s="18">
        <v>4365</v>
      </c>
      <c r="B163" s="18" t="s">
        <v>933</v>
      </c>
      <c r="C163" s="18">
        <v>26</v>
      </c>
      <c r="D163" s="18">
        <v>400</v>
      </c>
      <c r="E163" s="18">
        <v>2</v>
      </c>
      <c r="F163" s="18">
        <v>150</v>
      </c>
      <c r="G163" s="8">
        <f t="shared" si="5"/>
        <v>950</v>
      </c>
      <c r="H163" s="27">
        <f t="shared" si="4"/>
        <v>6.0085836909871237E-2</v>
      </c>
      <c r="I163" s="18">
        <v>1.4</v>
      </c>
      <c r="J163" s="18"/>
      <c r="K163" s="18"/>
      <c r="L163" s="18">
        <v>2.7</v>
      </c>
      <c r="M163" s="18"/>
    </row>
    <row r="164" spans="1:13" x14ac:dyDescent="0.2">
      <c r="A164" s="18">
        <v>4254</v>
      </c>
      <c r="B164" s="18" t="s">
        <v>934</v>
      </c>
      <c r="C164" s="18">
        <v>95</v>
      </c>
      <c r="D164" s="18">
        <v>1500</v>
      </c>
      <c r="E164" s="18">
        <v>34</v>
      </c>
      <c r="F164" s="18"/>
      <c r="G164" s="8">
        <f t="shared" si="5"/>
        <v>51000</v>
      </c>
      <c r="H164" s="27">
        <f t="shared" si="4"/>
        <v>1.0526315789473684E-2</v>
      </c>
      <c r="I164" s="18">
        <v>1</v>
      </c>
      <c r="J164" s="18"/>
      <c r="K164" s="18"/>
      <c r="L164" s="18"/>
      <c r="M164" s="18"/>
    </row>
    <row r="165" spans="1:13" x14ac:dyDescent="0.2">
      <c r="A165" s="18">
        <v>4164</v>
      </c>
      <c r="B165" s="18" t="s">
        <v>198</v>
      </c>
      <c r="C165" s="18">
        <v>470.2</v>
      </c>
      <c r="D165" s="18">
        <v>1500</v>
      </c>
      <c r="E165" s="18">
        <v>36</v>
      </c>
      <c r="F165" s="18">
        <v>1050</v>
      </c>
      <c r="G165" s="8">
        <f t="shared" si="5"/>
        <v>55050</v>
      </c>
      <c r="H165" s="27">
        <f t="shared" ref="H165:H228" si="6">IFERROR(I165/(C165-L165)*100%,0)</f>
        <v>6.1675882603147592E-3</v>
      </c>
      <c r="I165" s="18">
        <v>2.9</v>
      </c>
      <c r="J165" s="18"/>
      <c r="K165" s="18">
        <v>0.3</v>
      </c>
      <c r="L165" s="18"/>
      <c r="M165" s="18"/>
    </row>
    <row r="166" spans="1:13" x14ac:dyDescent="0.2">
      <c r="A166" s="18">
        <v>4165</v>
      </c>
      <c r="B166" s="18" t="s">
        <v>368</v>
      </c>
      <c r="C166" s="18">
        <v>304.5</v>
      </c>
      <c r="D166" s="18">
        <v>2000</v>
      </c>
      <c r="E166" s="18">
        <v>22</v>
      </c>
      <c r="F166" s="18"/>
      <c r="G166" s="8">
        <f t="shared" si="5"/>
        <v>44000</v>
      </c>
      <c r="H166" s="27">
        <f t="shared" si="6"/>
        <v>8.5922009253139447E-3</v>
      </c>
      <c r="I166" s="18">
        <v>2.6</v>
      </c>
      <c r="J166" s="18"/>
      <c r="K166" s="18"/>
      <c r="L166" s="18">
        <v>1.9</v>
      </c>
      <c r="M166" s="18"/>
    </row>
    <row r="167" spans="1:13" x14ac:dyDescent="0.2">
      <c r="A167" s="18">
        <v>4256</v>
      </c>
      <c r="B167" s="18" t="s">
        <v>935</v>
      </c>
      <c r="C167" s="18">
        <v>107.3</v>
      </c>
      <c r="D167" s="18">
        <v>250</v>
      </c>
      <c r="E167" s="18">
        <v>8</v>
      </c>
      <c r="F167" s="18"/>
      <c r="G167" s="8">
        <f t="shared" si="5"/>
        <v>2000</v>
      </c>
      <c r="H167" s="27">
        <f t="shared" si="6"/>
        <v>4.3802423112767941E-2</v>
      </c>
      <c r="I167" s="18">
        <v>4.7</v>
      </c>
      <c r="J167" s="18"/>
      <c r="K167" s="18"/>
      <c r="L167" s="18"/>
      <c r="M167" s="18"/>
    </row>
    <row r="168" spans="1:13" x14ac:dyDescent="0.2">
      <c r="A168" s="18">
        <v>4232</v>
      </c>
      <c r="B168" s="18" t="s">
        <v>936</v>
      </c>
      <c r="C168" s="18">
        <v>367.7</v>
      </c>
      <c r="D168" s="18">
        <v>500</v>
      </c>
      <c r="E168" s="18">
        <v>57</v>
      </c>
      <c r="F168" s="18"/>
      <c r="G168" s="8">
        <f t="shared" si="5"/>
        <v>28500</v>
      </c>
      <c r="H168" s="27">
        <f t="shared" si="6"/>
        <v>1.1703110563597166E-2</v>
      </c>
      <c r="I168" s="18">
        <v>3.8</v>
      </c>
      <c r="J168" s="18">
        <v>1.9</v>
      </c>
      <c r="K168" s="18"/>
      <c r="L168" s="18">
        <v>43</v>
      </c>
      <c r="M168" s="18"/>
    </row>
    <row r="169" spans="1:13" x14ac:dyDescent="0.2">
      <c r="A169" s="18">
        <v>4180</v>
      </c>
      <c r="B169" s="18" t="s">
        <v>937</v>
      </c>
      <c r="C169" s="18">
        <v>55</v>
      </c>
      <c r="D169" s="18">
        <v>2000</v>
      </c>
      <c r="E169" s="18">
        <v>5</v>
      </c>
      <c r="F169" s="18"/>
      <c r="G169" s="8">
        <f t="shared" si="5"/>
        <v>10000</v>
      </c>
      <c r="H169" s="27">
        <f t="shared" si="6"/>
        <v>1.8181818181818181E-2</v>
      </c>
      <c r="I169" s="18">
        <v>1</v>
      </c>
      <c r="J169" s="18"/>
      <c r="K169" s="18"/>
      <c r="L169" s="18"/>
      <c r="M169" s="18"/>
    </row>
    <row r="170" spans="1:13" x14ac:dyDescent="0.2">
      <c r="A170" s="18">
        <v>3984</v>
      </c>
      <c r="B170" s="18" t="s">
        <v>639</v>
      </c>
      <c r="C170" s="18">
        <v>192.6</v>
      </c>
      <c r="D170" s="18">
        <v>500</v>
      </c>
      <c r="E170" s="18">
        <v>21</v>
      </c>
      <c r="F170" s="18"/>
      <c r="G170" s="8">
        <f t="shared" si="5"/>
        <v>10500</v>
      </c>
      <c r="H170" s="27">
        <f t="shared" si="6"/>
        <v>3.7780401416765051E-2</v>
      </c>
      <c r="I170" s="18">
        <v>6.4</v>
      </c>
      <c r="J170" s="18"/>
      <c r="K170" s="18">
        <v>4.3</v>
      </c>
      <c r="L170" s="18">
        <v>23.2</v>
      </c>
      <c r="M170" s="18"/>
    </row>
    <row r="171" spans="1:13" x14ac:dyDescent="0.2">
      <c r="A171" s="18">
        <v>4165</v>
      </c>
      <c r="B171" s="18" t="s">
        <v>368</v>
      </c>
      <c r="C171" s="18">
        <v>292</v>
      </c>
      <c r="D171" s="18">
        <v>2000</v>
      </c>
      <c r="E171" s="18">
        <v>19</v>
      </c>
      <c r="F171" s="18">
        <v>1500</v>
      </c>
      <c r="G171" s="8">
        <f t="shared" si="5"/>
        <v>39500</v>
      </c>
      <c r="H171" s="27">
        <f t="shared" si="6"/>
        <v>2.2375215146299483E-2</v>
      </c>
      <c r="I171" s="18">
        <v>6.5</v>
      </c>
      <c r="J171" s="18">
        <v>2.4</v>
      </c>
      <c r="K171" s="18"/>
      <c r="L171" s="18">
        <v>1.5</v>
      </c>
      <c r="M171" s="18"/>
    </row>
    <row r="172" spans="1:13" x14ac:dyDescent="0.2">
      <c r="A172" s="18">
        <v>4304</v>
      </c>
      <c r="B172" s="18" t="s">
        <v>93</v>
      </c>
      <c r="C172" s="18">
        <v>277.5</v>
      </c>
      <c r="D172" s="18">
        <v>500</v>
      </c>
      <c r="E172" s="18">
        <v>20</v>
      </c>
      <c r="F172" s="18"/>
      <c r="G172" s="8">
        <f t="shared" si="5"/>
        <v>10000</v>
      </c>
      <c r="H172" s="27">
        <f t="shared" si="6"/>
        <v>2.7387387387387385E-2</v>
      </c>
      <c r="I172" s="18">
        <v>7.6</v>
      </c>
      <c r="J172" s="18"/>
      <c r="K172" s="18"/>
      <c r="L172" s="18"/>
      <c r="M172" s="18"/>
    </row>
    <row r="173" spans="1:13" x14ac:dyDescent="0.2">
      <c r="A173" s="18">
        <v>4173</v>
      </c>
      <c r="B173" s="18" t="s">
        <v>309</v>
      </c>
      <c r="C173" s="18">
        <v>23.5</v>
      </c>
      <c r="D173" s="18">
        <v>5000</v>
      </c>
      <c r="E173" s="18">
        <v>4</v>
      </c>
      <c r="F173" s="18"/>
      <c r="G173" s="8">
        <f t="shared" si="5"/>
        <v>20000</v>
      </c>
      <c r="H173" s="27">
        <f t="shared" si="6"/>
        <v>3.4042553191489362E-2</v>
      </c>
      <c r="I173" s="18">
        <v>0.8</v>
      </c>
      <c r="J173" s="18"/>
      <c r="K173" s="18"/>
      <c r="L173" s="18"/>
      <c r="M173" s="18"/>
    </row>
    <row r="174" spans="1:13" x14ac:dyDescent="0.2">
      <c r="A174" s="18">
        <v>4256</v>
      </c>
      <c r="B174" s="18" t="s">
        <v>935</v>
      </c>
      <c r="C174" s="18">
        <v>993</v>
      </c>
      <c r="D174" s="18">
        <v>250</v>
      </c>
      <c r="E174" s="18">
        <v>76</v>
      </c>
      <c r="F174" s="18">
        <v>230</v>
      </c>
      <c r="G174" s="8">
        <f t="shared" si="5"/>
        <v>19230</v>
      </c>
      <c r="H174" s="27">
        <f t="shared" si="6"/>
        <v>7.0493454179254783E-3</v>
      </c>
      <c r="I174" s="18">
        <v>7</v>
      </c>
      <c r="J174" s="18"/>
      <c r="K174" s="18"/>
      <c r="L174" s="18"/>
      <c r="M174" s="18"/>
    </row>
    <row r="175" spans="1:13" x14ac:dyDescent="0.2">
      <c r="A175" s="18">
        <v>4210</v>
      </c>
      <c r="B175" s="18" t="s">
        <v>159</v>
      </c>
      <c r="C175" s="18">
        <v>733.4</v>
      </c>
      <c r="D175" s="18">
        <v>700</v>
      </c>
      <c r="E175" s="18">
        <v>62</v>
      </c>
      <c r="F175" s="18"/>
      <c r="G175" s="8">
        <f t="shared" si="5"/>
        <v>43400</v>
      </c>
      <c r="H175" s="27">
        <f t="shared" si="6"/>
        <v>1.7725661303517864E-3</v>
      </c>
      <c r="I175" s="18">
        <v>1.3</v>
      </c>
      <c r="J175" s="18"/>
      <c r="K175" s="18"/>
      <c r="L175" s="18"/>
      <c r="M175" s="18"/>
    </row>
    <row r="176" spans="1:13" x14ac:dyDescent="0.2">
      <c r="A176" s="18">
        <v>4223</v>
      </c>
      <c r="B176" s="18" t="s">
        <v>938</v>
      </c>
      <c r="C176" s="18">
        <v>85</v>
      </c>
      <c r="D176" s="18">
        <v>1000</v>
      </c>
      <c r="E176" s="18">
        <v>8</v>
      </c>
      <c r="F176" s="18"/>
      <c r="G176" s="8">
        <f t="shared" si="5"/>
        <v>8000</v>
      </c>
      <c r="H176" s="27">
        <f t="shared" si="6"/>
        <v>8.2352941176470577E-3</v>
      </c>
      <c r="I176" s="18">
        <v>0.7</v>
      </c>
      <c r="J176" s="18"/>
      <c r="K176" s="18"/>
      <c r="L176" s="18"/>
      <c r="M176" s="18"/>
    </row>
    <row r="177" spans="1:13" x14ac:dyDescent="0.2">
      <c r="A177" s="18">
        <v>4180</v>
      </c>
      <c r="B177" s="18" t="s">
        <v>937</v>
      </c>
      <c r="C177" s="18">
        <v>135.5</v>
      </c>
      <c r="D177" s="18">
        <v>2000</v>
      </c>
      <c r="E177" s="18">
        <v>19</v>
      </c>
      <c r="F177" s="18">
        <v>1200</v>
      </c>
      <c r="G177" s="8">
        <f t="shared" si="5"/>
        <v>39200</v>
      </c>
      <c r="H177" s="27">
        <f t="shared" si="6"/>
        <v>1.4022140221402213E-2</v>
      </c>
      <c r="I177" s="18">
        <v>1.9</v>
      </c>
      <c r="J177" s="18"/>
      <c r="K177" s="18"/>
      <c r="L177" s="18"/>
      <c r="M177" s="18"/>
    </row>
    <row r="178" spans="1:13" x14ac:dyDescent="0.2">
      <c r="A178" s="18">
        <v>4181</v>
      </c>
      <c r="B178" s="18" t="s">
        <v>939</v>
      </c>
      <c r="C178" s="18">
        <v>81.7</v>
      </c>
      <c r="D178" s="18">
        <v>2000</v>
      </c>
      <c r="E178" s="18">
        <v>11</v>
      </c>
      <c r="F178" s="18">
        <v>1700</v>
      </c>
      <c r="G178" s="8">
        <f t="shared" si="5"/>
        <v>23700</v>
      </c>
      <c r="H178" s="27">
        <f t="shared" si="6"/>
        <v>8.5679314565483469E-3</v>
      </c>
      <c r="I178" s="18">
        <v>0.7</v>
      </c>
      <c r="J178" s="18"/>
      <c r="K178" s="18"/>
      <c r="L178" s="18"/>
      <c r="M178" s="18"/>
    </row>
    <row r="179" spans="1:13" x14ac:dyDescent="0.2">
      <c r="A179" s="18">
        <v>4135</v>
      </c>
      <c r="B179" s="18" t="s">
        <v>120</v>
      </c>
      <c r="C179" s="18"/>
      <c r="D179" s="18">
        <v>1000</v>
      </c>
      <c r="E179" s="18">
        <v>6</v>
      </c>
      <c r="F179" s="18"/>
      <c r="G179" s="8">
        <f t="shared" si="5"/>
        <v>6000</v>
      </c>
      <c r="H179" s="27">
        <f t="shared" si="6"/>
        <v>0</v>
      </c>
      <c r="I179" s="18">
        <v>1.4</v>
      </c>
      <c r="J179" s="18"/>
      <c r="K179" s="18"/>
      <c r="L179" s="18"/>
      <c r="M179" s="18"/>
    </row>
    <row r="180" spans="1:13" x14ac:dyDescent="0.2">
      <c r="A180" s="18">
        <v>4254</v>
      </c>
      <c r="B180" s="18" t="s">
        <v>934</v>
      </c>
      <c r="C180" s="18"/>
      <c r="D180" s="18">
        <v>1500</v>
      </c>
      <c r="E180" s="18">
        <v>3</v>
      </c>
      <c r="F180" s="18"/>
      <c r="G180" s="8">
        <f t="shared" si="5"/>
        <v>4500</v>
      </c>
      <c r="H180" s="27">
        <f t="shared" si="6"/>
        <v>0</v>
      </c>
      <c r="I180" s="18">
        <v>0.3</v>
      </c>
      <c r="J180" s="18"/>
      <c r="K180" s="18"/>
      <c r="L180" s="18"/>
      <c r="M180" s="18"/>
    </row>
    <row r="181" spans="1:13" x14ac:dyDescent="0.2">
      <c r="A181" s="18">
        <v>4254</v>
      </c>
      <c r="B181" s="18" t="s">
        <v>934</v>
      </c>
      <c r="C181" s="18">
        <v>33.299999999999997</v>
      </c>
      <c r="D181" s="18">
        <v>1500</v>
      </c>
      <c r="E181" s="18">
        <v>4</v>
      </c>
      <c r="F181" s="18"/>
      <c r="G181" s="8">
        <f t="shared" si="5"/>
        <v>6000</v>
      </c>
      <c r="H181" s="27">
        <f t="shared" si="6"/>
        <v>1.2012012012012014E-2</v>
      </c>
      <c r="I181" s="18">
        <v>0.4</v>
      </c>
      <c r="J181" s="18"/>
      <c r="K181" s="18"/>
      <c r="L181" s="18"/>
      <c r="M181" s="18"/>
    </row>
    <row r="182" spans="1:13" x14ac:dyDescent="0.2">
      <c r="A182" s="18">
        <v>3939</v>
      </c>
      <c r="B182" s="18" t="s">
        <v>940</v>
      </c>
      <c r="C182" s="18">
        <v>107.8</v>
      </c>
      <c r="D182" s="18">
        <v>1000</v>
      </c>
      <c r="E182" s="18">
        <v>18</v>
      </c>
      <c r="F182" s="18">
        <v>400</v>
      </c>
      <c r="G182" s="8">
        <f t="shared" si="5"/>
        <v>18400</v>
      </c>
      <c r="H182" s="27">
        <f t="shared" si="6"/>
        <v>7.1428571428571438E-2</v>
      </c>
      <c r="I182" s="18">
        <v>7.7</v>
      </c>
      <c r="J182" s="18">
        <v>6.7</v>
      </c>
      <c r="K182" s="18"/>
      <c r="L182" s="18"/>
      <c r="M182" s="18"/>
    </row>
    <row r="183" spans="1:13" x14ac:dyDescent="0.2">
      <c r="A183" s="18">
        <v>3939</v>
      </c>
      <c r="B183" s="18" t="s">
        <v>85</v>
      </c>
      <c r="C183" s="18">
        <v>54.2</v>
      </c>
      <c r="D183" s="18">
        <v>1000</v>
      </c>
      <c r="E183" s="18">
        <v>14</v>
      </c>
      <c r="F183" s="18"/>
      <c r="G183" s="8">
        <f t="shared" si="5"/>
        <v>14000</v>
      </c>
      <c r="H183" s="27">
        <f t="shared" si="6"/>
        <v>2.9520295202952029E-2</v>
      </c>
      <c r="I183" s="18">
        <v>1.6</v>
      </c>
      <c r="J183" s="18">
        <v>2.7</v>
      </c>
      <c r="K183" s="18">
        <v>4</v>
      </c>
      <c r="L183" s="18"/>
      <c r="M183" s="18"/>
    </row>
    <row r="184" spans="1:13" x14ac:dyDescent="0.2">
      <c r="A184" s="18">
        <v>3984</v>
      </c>
      <c r="B184" s="18" t="s">
        <v>428</v>
      </c>
      <c r="C184" s="18">
        <v>854</v>
      </c>
      <c r="D184" s="18">
        <v>500</v>
      </c>
      <c r="E184" s="18">
        <v>96</v>
      </c>
      <c r="F184" s="18"/>
      <c r="G184" s="8">
        <f t="shared" si="5"/>
        <v>48000</v>
      </c>
      <c r="H184" s="27">
        <f t="shared" si="6"/>
        <v>1.2786361214704316E-2</v>
      </c>
      <c r="I184" s="18">
        <v>9.6</v>
      </c>
      <c r="J184" s="18">
        <v>10.199999999999999</v>
      </c>
      <c r="K184" s="18">
        <v>13.7</v>
      </c>
      <c r="L184" s="18">
        <v>103.2</v>
      </c>
      <c r="M184" s="18"/>
    </row>
    <row r="185" spans="1:13" x14ac:dyDescent="0.2">
      <c r="A185" s="18">
        <v>4113</v>
      </c>
      <c r="B185" s="18" t="s">
        <v>365</v>
      </c>
      <c r="C185" s="18">
        <v>135</v>
      </c>
      <c r="D185" s="18">
        <v>500</v>
      </c>
      <c r="E185" s="18">
        <v>14</v>
      </c>
      <c r="F185" s="18"/>
      <c r="G185" s="8">
        <f t="shared" si="5"/>
        <v>7000</v>
      </c>
      <c r="H185" s="27">
        <f t="shared" si="6"/>
        <v>1.5625E-2</v>
      </c>
      <c r="I185" s="18">
        <v>2</v>
      </c>
      <c r="J185" s="18">
        <v>2</v>
      </c>
      <c r="K185" s="18"/>
      <c r="L185" s="18">
        <v>7</v>
      </c>
      <c r="M185" s="18"/>
    </row>
    <row r="186" spans="1:13" x14ac:dyDescent="0.2">
      <c r="A186" s="18">
        <v>4174</v>
      </c>
      <c r="B186" s="18" t="s">
        <v>397</v>
      </c>
      <c r="C186" s="18">
        <v>140</v>
      </c>
      <c r="D186" s="18">
        <v>4000</v>
      </c>
      <c r="E186" s="18">
        <v>5</v>
      </c>
      <c r="F186" s="18"/>
      <c r="G186" s="8">
        <f t="shared" si="5"/>
        <v>20000</v>
      </c>
      <c r="H186" s="27">
        <f t="shared" si="6"/>
        <v>0</v>
      </c>
      <c r="I186" s="18"/>
      <c r="J186" s="18"/>
      <c r="K186" s="18"/>
      <c r="L186" s="18"/>
      <c r="M186" s="18"/>
    </row>
    <row r="187" spans="1:13" x14ac:dyDescent="0.2">
      <c r="A187" s="18">
        <v>4173</v>
      </c>
      <c r="B187" s="18" t="s">
        <v>309</v>
      </c>
      <c r="C187" s="18">
        <v>114.1</v>
      </c>
      <c r="D187" s="18">
        <v>5000</v>
      </c>
      <c r="E187" s="18">
        <v>10</v>
      </c>
      <c r="F187" s="18">
        <v>4500</v>
      </c>
      <c r="G187" s="8">
        <f t="shared" si="5"/>
        <v>54500</v>
      </c>
      <c r="H187" s="27">
        <f t="shared" si="6"/>
        <v>7.8878177037686251E-3</v>
      </c>
      <c r="I187" s="18">
        <v>0.9</v>
      </c>
      <c r="J187" s="18"/>
      <c r="K187" s="18"/>
      <c r="L187" s="18"/>
      <c r="M187" s="18"/>
    </row>
    <row r="188" spans="1:13" x14ac:dyDescent="0.2">
      <c r="A188" s="18">
        <v>4116</v>
      </c>
      <c r="B188" s="18" t="s">
        <v>417</v>
      </c>
      <c r="C188" s="18">
        <v>428.9</v>
      </c>
      <c r="D188" s="18">
        <v>100</v>
      </c>
      <c r="E188" s="18">
        <v>28</v>
      </c>
      <c r="F188" s="18"/>
      <c r="G188" s="8">
        <f t="shared" si="5"/>
        <v>2800</v>
      </c>
      <c r="H188" s="27">
        <f t="shared" si="6"/>
        <v>0</v>
      </c>
      <c r="I188" s="18"/>
      <c r="J188" s="18"/>
      <c r="K188" s="18"/>
      <c r="L188" s="18"/>
      <c r="M188" s="18"/>
    </row>
    <row r="189" spans="1:13" x14ac:dyDescent="0.2">
      <c r="A189" s="18">
        <v>3939</v>
      </c>
      <c r="B189" s="18" t="s">
        <v>85</v>
      </c>
      <c r="C189" s="18">
        <v>37</v>
      </c>
      <c r="D189" s="18">
        <v>1000</v>
      </c>
      <c r="E189" s="18">
        <v>6</v>
      </c>
      <c r="F189" s="18"/>
      <c r="G189" s="8">
        <f t="shared" si="5"/>
        <v>6000</v>
      </c>
      <c r="H189" s="27">
        <f t="shared" si="6"/>
        <v>3.5135135135135137E-2</v>
      </c>
      <c r="I189" s="18">
        <v>1.3</v>
      </c>
      <c r="J189" s="18"/>
      <c r="K189" s="18"/>
      <c r="L189" s="18"/>
      <c r="M189" s="18"/>
    </row>
    <row r="190" spans="1:13" x14ac:dyDescent="0.2">
      <c r="A190" s="18">
        <v>4174</v>
      </c>
      <c r="B190" s="18" t="s">
        <v>397</v>
      </c>
      <c r="C190" s="18">
        <v>24</v>
      </c>
      <c r="D190" s="18">
        <v>3000</v>
      </c>
      <c r="E190" s="18">
        <v>2</v>
      </c>
      <c r="F190" s="18">
        <v>600</v>
      </c>
      <c r="G190" s="8">
        <f t="shared" si="5"/>
        <v>6600</v>
      </c>
      <c r="H190" s="27">
        <f t="shared" si="6"/>
        <v>4.9999999999999996E-2</v>
      </c>
      <c r="I190" s="18">
        <v>1.2</v>
      </c>
      <c r="J190" s="18"/>
      <c r="K190" s="18"/>
      <c r="L190" s="18"/>
      <c r="M190" s="18" t="s">
        <v>941</v>
      </c>
    </row>
    <row r="191" spans="1:13" x14ac:dyDescent="0.2">
      <c r="A191" s="18">
        <v>4142</v>
      </c>
      <c r="B191" s="18" t="s">
        <v>942</v>
      </c>
      <c r="C191" s="18">
        <v>87.8</v>
      </c>
      <c r="D191" s="18">
        <v>1400</v>
      </c>
      <c r="E191" s="18">
        <v>10</v>
      </c>
      <c r="F191" s="18">
        <v>1100</v>
      </c>
      <c r="G191" s="8">
        <f t="shared" si="5"/>
        <v>15100</v>
      </c>
      <c r="H191" s="27">
        <f t="shared" si="6"/>
        <v>4.5558086560364471E-3</v>
      </c>
      <c r="I191" s="18">
        <v>0.4</v>
      </c>
      <c r="J191" s="18">
        <v>0.5</v>
      </c>
      <c r="K191" s="18"/>
      <c r="L191" s="18"/>
      <c r="M191" s="18"/>
    </row>
    <row r="192" spans="1:13" x14ac:dyDescent="0.2">
      <c r="A192" s="18">
        <v>4135</v>
      </c>
      <c r="B192" s="18" t="s">
        <v>120</v>
      </c>
      <c r="C192" s="18">
        <v>88</v>
      </c>
      <c r="D192" s="18">
        <v>1000</v>
      </c>
      <c r="E192" s="18">
        <v>20</v>
      </c>
      <c r="F192" s="18"/>
      <c r="G192" s="8">
        <f t="shared" si="5"/>
        <v>20000</v>
      </c>
      <c r="H192" s="27">
        <f t="shared" si="6"/>
        <v>0</v>
      </c>
      <c r="I192" s="18"/>
      <c r="J192" s="18">
        <v>3.2</v>
      </c>
      <c r="K192" s="18"/>
      <c r="L192" s="18"/>
      <c r="M192" s="18"/>
    </row>
    <row r="193" spans="1:13" x14ac:dyDescent="0.2">
      <c r="A193" s="18">
        <v>4136</v>
      </c>
      <c r="B193" s="18" t="s">
        <v>943</v>
      </c>
      <c r="C193" s="18">
        <v>104.5</v>
      </c>
      <c r="D193" s="18">
        <v>1000</v>
      </c>
      <c r="E193" s="18">
        <v>18</v>
      </c>
      <c r="F193" s="18">
        <v>700</v>
      </c>
      <c r="G193" s="8">
        <f t="shared" si="5"/>
        <v>18700</v>
      </c>
      <c r="H193" s="27">
        <f t="shared" si="6"/>
        <v>9.5693779904306216E-3</v>
      </c>
      <c r="I193" s="18">
        <v>1</v>
      </c>
      <c r="J193" s="18">
        <v>2.8</v>
      </c>
      <c r="K193" s="18"/>
      <c r="L193" s="18"/>
      <c r="M193" s="18"/>
    </row>
    <row r="194" spans="1:13" x14ac:dyDescent="0.2">
      <c r="A194" s="18">
        <v>4137</v>
      </c>
      <c r="B194" s="18" t="s">
        <v>944</v>
      </c>
      <c r="C194" s="18">
        <v>47</v>
      </c>
      <c r="D194" s="18">
        <v>3000</v>
      </c>
      <c r="E194" s="18">
        <v>9</v>
      </c>
      <c r="F194" s="18"/>
      <c r="G194" s="8">
        <f t="shared" si="5"/>
        <v>27000</v>
      </c>
      <c r="H194" s="27">
        <f t="shared" si="6"/>
        <v>2.7659574468085108E-2</v>
      </c>
      <c r="I194" s="18">
        <v>1.3</v>
      </c>
      <c r="J194" s="18"/>
      <c r="K194" s="18"/>
      <c r="L194" s="18"/>
      <c r="M194" s="18"/>
    </row>
    <row r="195" spans="1:13" x14ac:dyDescent="0.2">
      <c r="A195" s="18">
        <v>4223</v>
      </c>
      <c r="B195" s="18" t="s">
        <v>280</v>
      </c>
      <c r="C195" s="18">
        <v>170.5</v>
      </c>
      <c r="D195" s="18">
        <v>1000</v>
      </c>
      <c r="E195" s="18">
        <v>12</v>
      </c>
      <c r="F195" s="18">
        <v>350</v>
      </c>
      <c r="G195" s="8">
        <f t="shared" ref="G195:G258" si="7">D195*E195+F195</f>
        <v>12350</v>
      </c>
      <c r="H195" s="27">
        <f t="shared" si="6"/>
        <v>7.0381231671554252E-3</v>
      </c>
      <c r="I195" s="18">
        <v>1.2</v>
      </c>
      <c r="J195" s="18"/>
      <c r="K195" s="18">
        <v>2</v>
      </c>
      <c r="L195" s="18"/>
      <c r="M195" s="18"/>
    </row>
    <row r="196" spans="1:13" x14ac:dyDescent="0.2">
      <c r="A196" s="18">
        <v>4183</v>
      </c>
      <c r="B196" s="18" t="s">
        <v>945</v>
      </c>
      <c r="C196" s="18">
        <v>83.9</v>
      </c>
      <c r="D196" s="18">
        <v>800</v>
      </c>
      <c r="E196" s="18">
        <v>6</v>
      </c>
      <c r="F196" s="18">
        <v>370</v>
      </c>
      <c r="G196" s="8">
        <f t="shared" si="7"/>
        <v>5170</v>
      </c>
      <c r="H196" s="27">
        <f t="shared" si="6"/>
        <v>3.6948748510131108E-2</v>
      </c>
      <c r="I196" s="18">
        <v>3.1</v>
      </c>
      <c r="J196" s="18"/>
      <c r="K196" s="18"/>
      <c r="L196" s="18"/>
      <c r="M196" s="18"/>
    </row>
    <row r="197" spans="1:13" x14ac:dyDescent="0.2">
      <c r="A197" s="18">
        <v>4217</v>
      </c>
      <c r="B197" s="18" t="s">
        <v>556</v>
      </c>
      <c r="C197" s="18">
        <v>350</v>
      </c>
      <c r="D197" s="18">
        <v>500</v>
      </c>
      <c r="E197" s="18">
        <v>40</v>
      </c>
      <c r="F197" s="18">
        <v>450</v>
      </c>
      <c r="G197" s="8">
        <f t="shared" si="7"/>
        <v>20450</v>
      </c>
      <c r="H197" s="27">
        <f t="shared" si="6"/>
        <v>8.8571428571428568E-3</v>
      </c>
      <c r="I197" s="18">
        <v>3.1</v>
      </c>
      <c r="J197" s="18"/>
      <c r="K197" s="18"/>
      <c r="L197" s="18"/>
      <c r="M197" s="18"/>
    </row>
    <row r="198" spans="1:13" x14ac:dyDescent="0.2">
      <c r="A198" s="18">
        <v>4324</v>
      </c>
      <c r="B198" s="18" t="s">
        <v>553</v>
      </c>
      <c r="C198" s="18">
        <v>143.30000000000001</v>
      </c>
      <c r="D198" s="18">
        <v>4000</v>
      </c>
      <c r="E198" s="18">
        <v>14</v>
      </c>
      <c r="F198" s="18">
        <v>450</v>
      </c>
      <c r="G198" s="8">
        <f t="shared" si="7"/>
        <v>56450</v>
      </c>
      <c r="H198" s="27">
        <f t="shared" si="6"/>
        <v>3.489183531053733E-3</v>
      </c>
      <c r="I198" s="18">
        <v>0.5</v>
      </c>
      <c r="J198" s="18"/>
      <c r="K198" s="18"/>
      <c r="L198" s="18"/>
      <c r="M198" s="18"/>
    </row>
    <row r="199" spans="1:13" x14ac:dyDescent="0.2">
      <c r="A199" s="18">
        <v>4113</v>
      </c>
      <c r="B199" s="18" t="s">
        <v>913</v>
      </c>
      <c r="C199" s="18">
        <v>218</v>
      </c>
      <c r="D199" s="18">
        <v>500</v>
      </c>
      <c r="E199" s="18">
        <v>24</v>
      </c>
      <c r="F199" s="18">
        <v>250</v>
      </c>
      <c r="G199" s="8">
        <f t="shared" si="7"/>
        <v>12250</v>
      </c>
      <c r="H199" s="27">
        <f t="shared" si="6"/>
        <v>5.7291666666666671E-3</v>
      </c>
      <c r="I199" s="18">
        <v>1.1000000000000001</v>
      </c>
      <c r="J199" s="18">
        <v>3</v>
      </c>
      <c r="K199" s="18">
        <v>7</v>
      </c>
      <c r="L199" s="18">
        <v>26</v>
      </c>
      <c r="M199" s="18"/>
    </row>
    <row r="200" spans="1:13" x14ac:dyDescent="0.2">
      <c r="A200" s="18">
        <v>4174</v>
      </c>
      <c r="B200" s="18" t="s">
        <v>397</v>
      </c>
      <c r="C200" s="18">
        <v>76</v>
      </c>
      <c r="D200" s="18">
        <v>4000</v>
      </c>
      <c r="E200" s="18">
        <v>6</v>
      </c>
      <c r="F200" s="18">
        <v>2600</v>
      </c>
      <c r="G200" s="8">
        <f t="shared" si="7"/>
        <v>26600</v>
      </c>
      <c r="H200" s="27">
        <f t="shared" si="6"/>
        <v>2.7631578947368424E-2</v>
      </c>
      <c r="I200" s="18">
        <v>2.1</v>
      </c>
      <c r="J200" s="18"/>
      <c r="K200" s="18"/>
      <c r="L200" s="18"/>
      <c r="M200" s="18" t="s">
        <v>946</v>
      </c>
    </row>
    <row r="201" spans="1:13" x14ac:dyDescent="0.2">
      <c r="A201" s="18">
        <v>4233</v>
      </c>
      <c r="B201" s="18" t="s">
        <v>947</v>
      </c>
      <c r="C201" s="18">
        <v>96</v>
      </c>
      <c r="D201" s="18">
        <v>1000</v>
      </c>
      <c r="E201" s="18">
        <v>9</v>
      </c>
      <c r="F201" s="18"/>
      <c r="G201" s="8">
        <f t="shared" si="7"/>
        <v>9000</v>
      </c>
      <c r="H201" s="27">
        <f t="shared" si="6"/>
        <v>0</v>
      </c>
      <c r="I201" s="18"/>
      <c r="J201" s="18">
        <v>3.6</v>
      </c>
      <c r="K201" s="18"/>
      <c r="L201" s="18"/>
      <c r="M201" s="18"/>
    </row>
    <row r="202" spans="1:13" x14ac:dyDescent="0.2">
      <c r="A202" s="18">
        <v>4172</v>
      </c>
      <c r="B202" s="18" t="s">
        <v>948</v>
      </c>
      <c r="C202" s="18">
        <v>818.8</v>
      </c>
      <c r="D202" s="18">
        <v>500</v>
      </c>
      <c r="E202" s="18">
        <v>56</v>
      </c>
      <c r="F202" s="18">
        <v>210</v>
      </c>
      <c r="G202" s="8">
        <f t="shared" si="7"/>
        <v>28210</v>
      </c>
      <c r="H202" s="27">
        <f t="shared" si="6"/>
        <v>1.355463347164592E-2</v>
      </c>
      <c r="I202" s="18">
        <v>9.8000000000000007</v>
      </c>
      <c r="J202" s="18">
        <v>12.3</v>
      </c>
      <c r="K202" s="18">
        <v>8.1999999999999993</v>
      </c>
      <c r="L202" s="18">
        <v>95.8</v>
      </c>
      <c r="M202" s="18"/>
    </row>
    <row r="203" spans="1:13" x14ac:dyDescent="0.2">
      <c r="A203" s="18">
        <v>4204</v>
      </c>
      <c r="B203" s="18" t="s">
        <v>203</v>
      </c>
      <c r="C203" s="18">
        <v>451.1</v>
      </c>
      <c r="D203" s="18">
        <v>400</v>
      </c>
      <c r="E203" s="18">
        <v>21</v>
      </c>
      <c r="F203" s="18"/>
      <c r="G203" s="8">
        <f t="shared" si="7"/>
        <v>8400</v>
      </c>
      <c r="H203" s="27">
        <f t="shared" si="6"/>
        <v>6.619144602851324E-3</v>
      </c>
      <c r="I203" s="18">
        <v>2.6</v>
      </c>
      <c r="J203" s="18">
        <v>5.9</v>
      </c>
      <c r="K203" s="18"/>
      <c r="L203" s="18">
        <v>58.3</v>
      </c>
      <c r="M203" s="18"/>
    </row>
    <row r="204" spans="1:13" x14ac:dyDescent="0.2">
      <c r="A204" s="18">
        <v>4224</v>
      </c>
      <c r="B204" s="18" t="s">
        <v>459</v>
      </c>
      <c r="C204" s="18">
        <v>305.2</v>
      </c>
      <c r="D204" s="18">
        <v>250</v>
      </c>
      <c r="E204" s="18">
        <v>29</v>
      </c>
      <c r="F204" s="18"/>
      <c r="G204" s="8">
        <f t="shared" si="7"/>
        <v>7250</v>
      </c>
      <c r="H204" s="27">
        <f t="shared" si="6"/>
        <v>5.8977719528178251E-3</v>
      </c>
      <c r="I204" s="18">
        <v>1.8</v>
      </c>
      <c r="J204" s="18"/>
      <c r="K204" s="18"/>
      <c r="L204" s="18"/>
      <c r="M204" s="18"/>
    </row>
    <row r="205" spans="1:13" x14ac:dyDescent="0.2">
      <c r="A205" s="18">
        <v>4086</v>
      </c>
      <c r="B205" s="18" t="s">
        <v>439</v>
      </c>
      <c r="C205" s="18">
        <v>120</v>
      </c>
      <c r="D205" s="18">
        <v>1000</v>
      </c>
      <c r="E205" s="18">
        <v>18</v>
      </c>
      <c r="F205" s="18">
        <v>875</v>
      </c>
      <c r="G205" s="8">
        <f t="shared" si="7"/>
        <v>18875</v>
      </c>
      <c r="H205" s="27">
        <f t="shared" si="6"/>
        <v>4.8333333333333332E-2</v>
      </c>
      <c r="I205" s="18">
        <v>5.8</v>
      </c>
      <c r="J205" s="18">
        <v>4.8</v>
      </c>
      <c r="K205" s="18"/>
      <c r="L205" s="18"/>
      <c r="M205" s="18"/>
    </row>
    <row r="206" spans="1:13" x14ac:dyDescent="0.2">
      <c r="A206" s="18">
        <v>4233</v>
      </c>
      <c r="B206" s="18" t="s">
        <v>947</v>
      </c>
      <c r="C206" s="18">
        <v>201</v>
      </c>
      <c r="D206" s="18">
        <v>1000</v>
      </c>
      <c r="E206" s="18">
        <v>22</v>
      </c>
      <c r="F206" s="18"/>
      <c r="G206" s="8">
        <f t="shared" si="7"/>
        <v>22000</v>
      </c>
      <c r="H206" s="27">
        <f t="shared" si="6"/>
        <v>6.4676616915422891E-3</v>
      </c>
      <c r="I206" s="18">
        <v>1.3</v>
      </c>
      <c r="J206" s="18"/>
      <c r="K206" s="18"/>
      <c r="L206" s="18"/>
      <c r="M206" s="18"/>
    </row>
    <row r="207" spans="1:13" x14ac:dyDescent="0.2">
      <c r="A207" s="18">
        <v>4204</v>
      </c>
      <c r="B207" s="18" t="s">
        <v>203</v>
      </c>
      <c r="C207" s="18">
        <v>143</v>
      </c>
      <c r="D207" s="18">
        <v>400</v>
      </c>
      <c r="E207" s="18">
        <v>7</v>
      </c>
      <c r="F207" s="18"/>
      <c r="G207" s="8">
        <f t="shared" si="7"/>
        <v>2800</v>
      </c>
      <c r="H207" s="27">
        <f t="shared" si="6"/>
        <v>1.4527845036319612E-2</v>
      </c>
      <c r="I207" s="18">
        <v>1.8</v>
      </c>
      <c r="J207" s="18"/>
      <c r="K207" s="18"/>
      <c r="L207" s="18">
        <v>19.100000000000001</v>
      </c>
      <c r="M207" s="18"/>
    </row>
    <row r="208" spans="1:13" x14ac:dyDescent="0.2">
      <c r="A208" s="18">
        <v>4137</v>
      </c>
      <c r="B208" s="18" t="s">
        <v>944</v>
      </c>
      <c r="C208" s="18">
        <v>45.8</v>
      </c>
      <c r="D208" s="18">
        <v>3000</v>
      </c>
      <c r="E208" s="18">
        <v>8</v>
      </c>
      <c r="F208" s="18">
        <v>400</v>
      </c>
      <c r="G208" s="8">
        <f t="shared" si="7"/>
        <v>24400</v>
      </c>
      <c r="H208" s="27">
        <f t="shared" si="6"/>
        <v>5.458515283842795E-2</v>
      </c>
      <c r="I208" s="18">
        <v>2.5</v>
      </c>
      <c r="J208" s="18">
        <v>8</v>
      </c>
      <c r="K208" s="18"/>
      <c r="L208" s="18"/>
      <c r="M208" s="18"/>
    </row>
    <row r="209" spans="1:15" x14ac:dyDescent="0.2">
      <c r="A209" s="18">
        <v>4224</v>
      </c>
      <c r="B209" s="18" t="s">
        <v>459</v>
      </c>
      <c r="C209" s="18">
        <v>1226.9000000000001</v>
      </c>
      <c r="D209" s="18">
        <v>250</v>
      </c>
      <c r="E209" s="18">
        <v>109</v>
      </c>
      <c r="F209" s="18"/>
      <c r="G209" s="8">
        <f t="shared" si="7"/>
        <v>27250</v>
      </c>
      <c r="H209" s="27">
        <f t="shared" si="6"/>
        <v>7.3355611704295377E-3</v>
      </c>
      <c r="I209" s="18">
        <v>9</v>
      </c>
      <c r="J209" s="18"/>
      <c r="K209" s="18"/>
      <c r="L209" s="18"/>
      <c r="M209" s="18"/>
    </row>
    <row r="210" spans="1:15" x14ac:dyDescent="0.2">
      <c r="A210" s="18">
        <v>4205</v>
      </c>
      <c r="B210" s="18" t="s">
        <v>949</v>
      </c>
      <c r="C210" s="18">
        <v>1352</v>
      </c>
      <c r="D210" s="18">
        <v>400</v>
      </c>
      <c r="E210" s="18">
        <v>80</v>
      </c>
      <c r="F210" s="18">
        <v>300</v>
      </c>
      <c r="G210" s="8">
        <f t="shared" si="7"/>
        <v>32300</v>
      </c>
      <c r="H210" s="27">
        <f t="shared" si="6"/>
        <v>8.8776673725362437E-3</v>
      </c>
      <c r="I210" s="18">
        <v>10.9</v>
      </c>
      <c r="J210" s="18">
        <v>12</v>
      </c>
      <c r="K210" s="18"/>
      <c r="L210" s="18">
        <v>124.2</v>
      </c>
      <c r="M210" s="18"/>
    </row>
    <row r="211" spans="1:15" x14ac:dyDescent="0.2">
      <c r="A211" s="18">
        <v>4123</v>
      </c>
      <c r="B211" s="18" t="s">
        <v>950</v>
      </c>
      <c r="C211" s="18">
        <v>1041</v>
      </c>
      <c r="D211" s="18">
        <v>400</v>
      </c>
      <c r="E211" s="18">
        <v>63</v>
      </c>
      <c r="F211" s="18"/>
      <c r="G211" s="8">
        <f t="shared" si="7"/>
        <v>25200</v>
      </c>
      <c r="H211" s="27">
        <f t="shared" si="6"/>
        <v>2.6363539331839044E-2</v>
      </c>
      <c r="I211" s="18">
        <v>24.7</v>
      </c>
      <c r="J211" s="18">
        <v>12.6</v>
      </c>
      <c r="K211" s="18"/>
      <c r="L211" s="18">
        <v>104.1</v>
      </c>
      <c r="M211" s="18"/>
    </row>
    <row r="212" spans="1:15" x14ac:dyDescent="0.2">
      <c r="A212" s="18">
        <v>4287</v>
      </c>
      <c r="B212" s="18" t="s">
        <v>951</v>
      </c>
      <c r="C212" s="18">
        <v>120.4</v>
      </c>
      <c r="D212" s="18">
        <v>3000</v>
      </c>
      <c r="E212" s="18">
        <v>16</v>
      </c>
      <c r="F212" s="18"/>
      <c r="G212" s="8">
        <f t="shared" si="7"/>
        <v>48000</v>
      </c>
      <c r="H212" s="27">
        <f t="shared" si="6"/>
        <v>3.3222591362126247E-3</v>
      </c>
      <c r="I212" s="18">
        <v>0.4</v>
      </c>
      <c r="J212" s="18"/>
      <c r="K212" s="18"/>
      <c r="L212" s="18"/>
      <c r="M212" s="18"/>
    </row>
    <row r="213" spans="1:15" x14ac:dyDescent="0.2">
      <c r="A213" s="18">
        <v>4236</v>
      </c>
      <c r="B213" s="18" t="s">
        <v>952</v>
      </c>
      <c r="C213" s="18">
        <v>126</v>
      </c>
      <c r="D213" s="18">
        <v>800</v>
      </c>
      <c r="E213" s="18">
        <v>11</v>
      </c>
      <c r="F213" s="18">
        <v>250</v>
      </c>
      <c r="G213" s="8">
        <f t="shared" si="7"/>
        <v>9050</v>
      </c>
      <c r="H213" s="27">
        <f t="shared" si="6"/>
        <v>3.968253968253968E-3</v>
      </c>
      <c r="I213" s="18">
        <v>0.5</v>
      </c>
      <c r="J213" s="18"/>
      <c r="K213" s="18"/>
      <c r="L213" s="18"/>
      <c r="M213" s="18"/>
    </row>
    <row r="214" spans="1:15" x14ac:dyDescent="0.2">
      <c r="A214" s="18">
        <v>4237</v>
      </c>
      <c r="B214" s="18" t="s">
        <v>953</v>
      </c>
      <c r="C214" s="18">
        <v>177.9</v>
      </c>
      <c r="D214" s="18">
        <v>600</v>
      </c>
      <c r="E214" s="18">
        <v>17</v>
      </c>
      <c r="F214" s="18">
        <v>120</v>
      </c>
      <c r="G214" s="8">
        <f t="shared" si="7"/>
        <v>10320</v>
      </c>
      <c r="H214" s="27">
        <f t="shared" si="6"/>
        <v>5.6211354693648111E-3</v>
      </c>
      <c r="I214" s="18">
        <v>1</v>
      </c>
      <c r="J214" s="18"/>
      <c r="K214" s="18"/>
      <c r="L214" s="18"/>
      <c r="M214" s="18"/>
    </row>
    <row r="215" spans="1:15" x14ac:dyDescent="0.2">
      <c r="A215" s="18">
        <v>4305</v>
      </c>
      <c r="B215" s="18" t="s">
        <v>953</v>
      </c>
      <c r="C215" s="18">
        <v>207.7</v>
      </c>
      <c r="D215" s="18">
        <v>600</v>
      </c>
      <c r="E215" s="18">
        <v>25</v>
      </c>
      <c r="F215" s="18">
        <v>435</v>
      </c>
      <c r="G215" s="8">
        <f t="shared" si="7"/>
        <v>15435</v>
      </c>
      <c r="H215" s="27">
        <f t="shared" si="6"/>
        <v>3.3702455464612422E-3</v>
      </c>
      <c r="I215" s="18">
        <v>0.7</v>
      </c>
      <c r="J215" s="18"/>
      <c r="K215" s="18"/>
      <c r="L215" s="18"/>
      <c r="M215" s="18"/>
    </row>
    <row r="216" spans="1:15" x14ac:dyDescent="0.2">
      <c r="A216" s="18">
        <v>4294</v>
      </c>
      <c r="B216" s="18" t="s">
        <v>954</v>
      </c>
      <c r="C216" s="18">
        <v>149.5</v>
      </c>
      <c r="D216" s="18">
        <v>1200</v>
      </c>
      <c r="E216" s="18">
        <v>17</v>
      </c>
      <c r="F216" s="18">
        <v>665</v>
      </c>
      <c r="G216" s="8">
        <f t="shared" si="7"/>
        <v>21065</v>
      </c>
      <c r="H216" s="27">
        <f t="shared" si="6"/>
        <v>6.0200668896321068E-3</v>
      </c>
      <c r="I216" s="18">
        <v>0.9</v>
      </c>
      <c r="J216" s="18"/>
      <c r="K216" s="18"/>
      <c r="L216" s="18"/>
      <c r="M216" s="18"/>
    </row>
    <row r="217" spans="1:15" x14ac:dyDescent="0.2">
      <c r="A217" s="18">
        <v>4155</v>
      </c>
      <c r="B217" s="18" t="s">
        <v>955</v>
      </c>
      <c r="C217" s="18">
        <v>218.9</v>
      </c>
      <c r="D217" s="18">
        <v>500</v>
      </c>
      <c r="E217" s="18">
        <v>21</v>
      </c>
      <c r="F217" s="18">
        <v>260</v>
      </c>
      <c r="G217" s="8">
        <f t="shared" si="7"/>
        <v>10760</v>
      </c>
      <c r="H217" s="27">
        <f t="shared" si="6"/>
        <v>5.4819552306989488E-3</v>
      </c>
      <c r="I217" s="18">
        <v>1.2</v>
      </c>
      <c r="J217" s="18"/>
      <c r="K217" s="18"/>
      <c r="L217" s="18"/>
      <c r="M217" s="18"/>
    </row>
    <row r="218" spans="1:15" x14ac:dyDescent="0.2">
      <c r="A218" s="18">
        <v>4227</v>
      </c>
      <c r="B218" s="18" t="s">
        <v>487</v>
      </c>
      <c r="C218" s="18">
        <v>93.4</v>
      </c>
      <c r="D218" s="18">
        <v>500</v>
      </c>
      <c r="E218" s="18">
        <v>8</v>
      </c>
      <c r="F218" s="18"/>
      <c r="G218" s="8">
        <f t="shared" si="7"/>
        <v>4000</v>
      </c>
      <c r="H218" s="27">
        <f t="shared" si="6"/>
        <v>1.0706638115631691E-2</v>
      </c>
      <c r="I218" s="18">
        <v>1</v>
      </c>
      <c r="J218" s="18"/>
      <c r="K218" s="18"/>
      <c r="L218" s="18"/>
      <c r="M218" s="18"/>
    </row>
    <row r="219" spans="1:15" x14ac:dyDescent="0.2">
      <c r="A219" s="18">
        <v>4227</v>
      </c>
      <c r="B219" s="18" t="s">
        <v>487</v>
      </c>
      <c r="C219" s="18">
        <v>215</v>
      </c>
      <c r="D219" s="18">
        <v>500</v>
      </c>
      <c r="E219" s="18">
        <v>15</v>
      </c>
      <c r="F219" s="18">
        <v>400</v>
      </c>
      <c r="G219" s="8">
        <f t="shared" si="7"/>
        <v>7900</v>
      </c>
      <c r="H219" s="27">
        <f t="shared" si="6"/>
        <v>1.8604651162790697E-2</v>
      </c>
      <c r="I219" s="18">
        <v>4</v>
      </c>
      <c r="J219" s="18"/>
      <c r="K219" s="18"/>
      <c r="L219" s="18"/>
      <c r="M219" s="18"/>
    </row>
    <row r="220" spans="1:15" x14ac:dyDescent="0.2">
      <c r="A220" s="18">
        <v>4168</v>
      </c>
      <c r="B220" s="18" t="s">
        <v>956</v>
      </c>
      <c r="C220" s="18">
        <v>379</v>
      </c>
      <c r="D220" s="18">
        <v>500</v>
      </c>
      <c r="E220" s="18">
        <v>54</v>
      </c>
      <c r="F220" s="18">
        <v>350</v>
      </c>
      <c r="G220" s="8">
        <f t="shared" si="7"/>
        <v>27350</v>
      </c>
      <c r="H220" s="27">
        <f t="shared" si="6"/>
        <v>1.3091103393000268E-2</v>
      </c>
      <c r="I220" s="18">
        <v>4.9000000000000004</v>
      </c>
      <c r="J220" s="18"/>
      <c r="K220" s="18"/>
      <c r="L220" s="18">
        <v>4.7</v>
      </c>
      <c r="M220" s="18"/>
    </row>
    <row r="221" spans="1:15" x14ac:dyDescent="0.2">
      <c r="A221" s="18">
        <v>4159</v>
      </c>
      <c r="B221" s="18" t="s">
        <v>957</v>
      </c>
      <c r="C221" s="18"/>
      <c r="D221" s="18">
        <v>5000</v>
      </c>
      <c r="E221" s="18"/>
      <c r="F221" s="18"/>
      <c r="G221" s="8">
        <f t="shared" si="7"/>
        <v>0</v>
      </c>
      <c r="H221" s="27">
        <f t="shared" si="6"/>
        <v>0</v>
      </c>
      <c r="I221" s="18"/>
      <c r="J221" s="18"/>
      <c r="K221" s="18"/>
      <c r="L221" s="18"/>
      <c r="M221" s="18"/>
    </row>
    <row r="222" spans="1:15" x14ac:dyDescent="0.2">
      <c r="A222" s="18">
        <v>4278</v>
      </c>
      <c r="B222" s="18" t="s">
        <v>319</v>
      </c>
      <c r="C222" s="18">
        <v>299</v>
      </c>
      <c r="D222" s="18">
        <v>1500</v>
      </c>
      <c r="E222" s="18">
        <v>26</v>
      </c>
      <c r="F222" s="18">
        <v>300</v>
      </c>
      <c r="G222" s="8">
        <f t="shared" si="7"/>
        <v>39300</v>
      </c>
      <c r="H222" s="27">
        <f t="shared" si="6"/>
        <v>4.0133779264214043E-3</v>
      </c>
      <c r="I222" s="18">
        <v>1.2</v>
      </c>
      <c r="J222" s="18"/>
      <c r="K222" s="18"/>
      <c r="L222" s="18"/>
      <c r="M222" s="18"/>
      <c r="O222">
        <f t="shared" ref="O222:O224" si="8">AVERAGEA(G222)-Q222-R222</f>
        <v>39300</v>
      </c>
    </row>
    <row r="223" spans="1:15" x14ac:dyDescent="0.2">
      <c r="A223" s="18">
        <v>4211</v>
      </c>
      <c r="B223" s="18" t="s">
        <v>505</v>
      </c>
      <c r="C223" s="18">
        <v>105</v>
      </c>
      <c r="D223" s="18">
        <v>1200</v>
      </c>
      <c r="E223" s="18">
        <v>13</v>
      </c>
      <c r="F223" s="18">
        <v>600</v>
      </c>
      <c r="G223" s="8">
        <f t="shared" si="7"/>
        <v>16200</v>
      </c>
      <c r="H223" s="27">
        <f t="shared" si="6"/>
        <v>9.5238095238095247E-3</v>
      </c>
      <c r="I223" s="18">
        <v>1</v>
      </c>
      <c r="J223" s="18"/>
      <c r="K223" s="18"/>
      <c r="L223" s="18"/>
      <c r="M223" s="18"/>
      <c r="O223">
        <f t="shared" si="8"/>
        <v>16200</v>
      </c>
    </row>
    <row r="224" spans="1:15" x14ac:dyDescent="0.2">
      <c r="A224" s="18">
        <v>4212</v>
      </c>
      <c r="B224" s="18" t="s">
        <v>958</v>
      </c>
      <c r="C224" s="18">
        <v>143</v>
      </c>
      <c r="D224" s="18">
        <v>500</v>
      </c>
      <c r="E224" s="18">
        <v>10</v>
      </c>
      <c r="F224" s="18"/>
      <c r="G224" s="8">
        <f t="shared" si="7"/>
        <v>5000</v>
      </c>
      <c r="H224" s="27">
        <f t="shared" si="6"/>
        <v>1.6783216783216783E-2</v>
      </c>
      <c r="I224" s="18">
        <v>2.4</v>
      </c>
      <c r="J224" s="18"/>
      <c r="K224" s="18"/>
      <c r="L224" s="18"/>
      <c r="M224" s="18"/>
      <c r="O224">
        <f t="shared" si="8"/>
        <v>5000</v>
      </c>
    </row>
    <row r="225" spans="1:15" x14ac:dyDescent="0.2">
      <c r="A225" s="18">
        <v>4226</v>
      </c>
      <c r="B225" s="18" t="s">
        <v>522</v>
      </c>
      <c r="C225" s="18">
        <v>125</v>
      </c>
      <c r="D225" s="18">
        <v>1500</v>
      </c>
      <c r="E225" s="18">
        <v>21</v>
      </c>
      <c r="F225" s="18"/>
      <c r="G225" s="8">
        <f t="shared" si="7"/>
        <v>31500</v>
      </c>
      <c r="H225" s="27">
        <f t="shared" si="6"/>
        <v>4.0000000000000001E-3</v>
      </c>
      <c r="I225" s="18">
        <v>0.5</v>
      </c>
      <c r="J225" s="18"/>
      <c r="K225" s="18"/>
      <c r="L225" s="18"/>
      <c r="M225" s="18"/>
      <c r="O225">
        <f>AVERAGEA(G225)-Q225-R225</f>
        <v>31500</v>
      </c>
    </row>
    <row r="226" spans="1:15" x14ac:dyDescent="0.2">
      <c r="A226" s="18">
        <v>4182</v>
      </c>
      <c r="B226" s="18" t="s">
        <v>959</v>
      </c>
      <c r="C226" s="18">
        <v>110</v>
      </c>
      <c r="D226" s="18">
        <v>500</v>
      </c>
      <c r="E226" s="18">
        <v>10</v>
      </c>
      <c r="F226" s="18"/>
      <c r="G226" s="8">
        <f t="shared" si="7"/>
        <v>5000</v>
      </c>
      <c r="H226" s="27">
        <f t="shared" si="6"/>
        <v>2.6363636363636363E-2</v>
      </c>
      <c r="I226" s="18">
        <v>2.9</v>
      </c>
      <c r="J226" s="18"/>
      <c r="K226" s="18"/>
      <c r="L226" s="18"/>
      <c r="M226" s="18"/>
    </row>
    <row r="227" spans="1:15" x14ac:dyDescent="0.2">
      <c r="A227" s="18">
        <v>4307</v>
      </c>
      <c r="B227" s="18" t="s">
        <v>960</v>
      </c>
      <c r="C227" s="18">
        <v>96</v>
      </c>
      <c r="D227" s="18">
        <v>1000</v>
      </c>
      <c r="E227" s="18">
        <v>6</v>
      </c>
      <c r="F227" s="18"/>
      <c r="G227" s="8">
        <f t="shared" si="7"/>
        <v>6000</v>
      </c>
      <c r="H227" s="27">
        <f t="shared" si="6"/>
        <v>8.3333333333333332E-3</v>
      </c>
      <c r="I227" s="18">
        <v>0.8</v>
      </c>
      <c r="J227" s="18"/>
      <c r="K227" s="18"/>
      <c r="L227" s="18"/>
      <c r="M227" s="18"/>
    </row>
    <row r="228" spans="1:15" x14ac:dyDescent="0.2">
      <c r="A228" s="18">
        <v>4287</v>
      </c>
      <c r="B228" s="18" t="s">
        <v>951</v>
      </c>
      <c r="C228" s="18">
        <v>209</v>
      </c>
      <c r="D228" s="18">
        <v>3000</v>
      </c>
      <c r="E228" s="18">
        <v>35</v>
      </c>
      <c r="F228" s="18"/>
      <c r="G228" s="8">
        <f t="shared" si="7"/>
        <v>105000</v>
      </c>
      <c r="H228" s="27">
        <f t="shared" si="6"/>
        <v>1.0047846889952153E-2</v>
      </c>
      <c r="I228" s="18">
        <v>2.1</v>
      </c>
      <c r="J228" s="18"/>
      <c r="K228" s="18"/>
      <c r="L228" s="18"/>
      <c r="M228" s="18"/>
    </row>
    <row r="229" spans="1:15" x14ac:dyDescent="0.2">
      <c r="A229" s="18">
        <v>4224</v>
      </c>
      <c r="B229" s="18" t="s">
        <v>459</v>
      </c>
      <c r="C229" s="18">
        <v>904</v>
      </c>
      <c r="D229" s="18">
        <v>250</v>
      </c>
      <c r="E229" s="18">
        <v>84</v>
      </c>
      <c r="F229" s="18"/>
      <c r="G229" s="8">
        <f t="shared" si="7"/>
        <v>21000</v>
      </c>
      <c r="H229" s="27">
        <f t="shared" ref="H229:H292" si="9">IFERROR(I229/(C229-L229)*100%,0)</f>
        <v>8.0752212389380521E-3</v>
      </c>
      <c r="I229" s="18">
        <v>7.3</v>
      </c>
      <c r="J229" s="18"/>
      <c r="K229" s="18"/>
      <c r="L229" s="18"/>
      <c r="M229" s="18"/>
    </row>
    <row r="230" spans="1:15" x14ac:dyDescent="0.2">
      <c r="A230" s="18">
        <v>4123</v>
      </c>
      <c r="B230" s="18" t="s">
        <v>950</v>
      </c>
      <c r="C230" s="18">
        <v>1779</v>
      </c>
      <c r="D230" s="18">
        <v>400</v>
      </c>
      <c r="E230" s="18">
        <v>107</v>
      </c>
      <c r="F230" s="18">
        <v>200</v>
      </c>
      <c r="G230" s="8">
        <f t="shared" si="7"/>
        <v>43000</v>
      </c>
      <c r="H230" s="27">
        <f t="shared" si="9"/>
        <v>1.3166969715969652E-2</v>
      </c>
      <c r="I230" s="18">
        <v>21</v>
      </c>
      <c r="J230" s="18">
        <v>21.3</v>
      </c>
      <c r="K230" s="18">
        <v>15.8</v>
      </c>
      <c r="L230" s="18">
        <v>184.1</v>
      </c>
      <c r="M230" s="18"/>
    </row>
    <row r="231" spans="1:15" x14ac:dyDescent="0.2">
      <c r="A231" s="18">
        <v>4141</v>
      </c>
      <c r="B231" s="18" t="s">
        <v>526</v>
      </c>
      <c r="C231" s="18">
        <v>200</v>
      </c>
      <c r="D231" s="18">
        <v>300</v>
      </c>
      <c r="E231" s="18">
        <v>14</v>
      </c>
      <c r="F231" s="18">
        <v>275</v>
      </c>
      <c r="G231" s="8">
        <f t="shared" si="7"/>
        <v>4475</v>
      </c>
      <c r="H231" s="27">
        <f t="shared" si="9"/>
        <v>1.7761033369214207E-2</v>
      </c>
      <c r="I231" s="18">
        <v>3.3</v>
      </c>
      <c r="J231" s="18">
        <v>3.6</v>
      </c>
      <c r="K231" s="18"/>
      <c r="L231" s="18">
        <v>14.2</v>
      </c>
      <c r="M231" s="18"/>
    </row>
    <row r="232" spans="1:15" x14ac:dyDescent="0.2">
      <c r="A232" s="18">
        <v>4140</v>
      </c>
      <c r="B232" s="18" t="s">
        <v>524</v>
      </c>
      <c r="C232" s="18">
        <v>124</v>
      </c>
      <c r="D232" s="18">
        <v>500</v>
      </c>
      <c r="E232" s="18">
        <v>8</v>
      </c>
      <c r="F232" s="18"/>
      <c r="G232" s="8">
        <f t="shared" si="7"/>
        <v>4000</v>
      </c>
      <c r="H232" s="27">
        <f t="shared" si="9"/>
        <v>1.5873015873015872E-2</v>
      </c>
      <c r="I232" s="18">
        <v>1.8</v>
      </c>
      <c r="J232" s="18">
        <v>2.2999999999999998</v>
      </c>
      <c r="K232" s="18"/>
      <c r="L232" s="18">
        <v>10.6</v>
      </c>
      <c r="M232" s="18"/>
    </row>
    <row r="233" spans="1:15" x14ac:dyDescent="0.2">
      <c r="A233" s="18">
        <v>4159</v>
      </c>
      <c r="B233" s="18" t="s">
        <v>309</v>
      </c>
      <c r="C233" s="18">
        <v>132.1</v>
      </c>
      <c r="D233" s="18">
        <v>5000</v>
      </c>
      <c r="E233" s="18">
        <v>13</v>
      </c>
      <c r="F233" s="18"/>
      <c r="G233" s="8">
        <f t="shared" si="7"/>
        <v>65000</v>
      </c>
      <c r="H233" s="27">
        <f t="shared" si="9"/>
        <v>0</v>
      </c>
      <c r="I233" s="18"/>
      <c r="J233" s="18">
        <v>4.2</v>
      </c>
      <c r="K233" s="18"/>
      <c r="L233" s="18"/>
      <c r="M233" s="18"/>
    </row>
    <row r="234" spans="1:15" x14ac:dyDescent="0.2">
      <c r="A234" s="18">
        <v>4287</v>
      </c>
      <c r="B234" s="18" t="s">
        <v>951</v>
      </c>
      <c r="C234" s="18">
        <v>153.4</v>
      </c>
      <c r="D234" s="18">
        <v>3000</v>
      </c>
      <c r="E234" s="18">
        <v>21</v>
      </c>
      <c r="F234" s="18">
        <v>200</v>
      </c>
      <c r="G234" s="8">
        <f t="shared" si="7"/>
        <v>63200</v>
      </c>
      <c r="H234" s="27">
        <f t="shared" si="9"/>
        <v>1.3037809647979139E-3</v>
      </c>
      <c r="I234" s="18">
        <v>0.2</v>
      </c>
      <c r="J234" s="18"/>
      <c r="K234" s="18"/>
      <c r="L234" s="18"/>
      <c r="M234" s="18"/>
    </row>
    <row r="235" spans="1:15" x14ac:dyDescent="0.2">
      <c r="A235" s="18">
        <v>4224</v>
      </c>
      <c r="B235" s="18" t="s">
        <v>459</v>
      </c>
      <c r="C235" s="18">
        <v>952.8</v>
      </c>
      <c r="D235" s="18">
        <v>250</v>
      </c>
      <c r="E235" s="18">
        <v>88</v>
      </c>
      <c r="F235" s="18"/>
      <c r="G235" s="8">
        <f t="shared" si="7"/>
        <v>22000</v>
      </c>
      <c r="H235" s="27">
        <f t="shared" si="9"/>
        <v>4.1981528127623844E-3</v>
      </c>
      <c r="I235" s="18">
        <v>4</v>
      </c>
      <c r="J235" s="18"/>
      <c r="K235" s="18"/>
      <c r="L235" s="18"/>
      <c r="M235" s="18"/>
    </row>
    <row r="236" spans="1:15" x14ac:dyDescent="0.2">
      <c r="A236" s="18">
        <v>4307</v>
      </c>
      <c r="B236" s="18" t="s">
        <v>960</v>
      </c>
      <c r="C236" s="18">
        <v>240</v>
      </c>
      <c r="D236" s="18">
        <v>1000</v>
      </c>
      <c r="E236" s="18">
        <v>20</v>
      </c>
      <c r="F236" s="18">
        <v>700</v>
      </c>
      <c r="G236" s="8">
        <f t="shared" si="7"/>
        <v>20700</v>
      </c>
      <c r="H236" s="27">
        <f t="shared" si="9"/>
        <v>2.5000000000000001E-3</v>
      </c>
      <c r="I236" s="18">
        <v>0.6</v>
      </c>
      <c r="J236" s="18"/>
      <c r="K236" s="18"/>
      <c r="L236" s="18"/>
      <c r="M236" s="18"/>
    </row>
    <row r="237" spans="1:15" x14ac:dyDescent="0.2">
      <c r="A237" s="18">
        <v>4331</v>
      </c>
      <c r="B237" s="18" t="s">
        <v>961</v>
      </c>
      <c r="C237" s="18">
        <v>732.3</v>
      </c>
      <c r="D237" s="18">
        <v>1600</v>
      </c>
      <c r="E237" s="18">
        <v>54</v>
      </c>
      <c r="F237" s="18">
        <v>1100</v>
      </c>
      <c r="G237" s="8">
        <f t="shared" si="7"/>
        <v>87500</v>
      </c>
      <c r="H237" s="27">
        <f t="shared" si="9"/>
        <v>2.7311211252219036E-3</v>
      </c>
      <c r="I237" s="18">
        <v>2</v>
      </c>
      <c r="J237" s="18"/>
      <c r="K237" s="18"/>
      <c r="L237" s="18"/>
      <c r="M237" s="18"/>
    </row>
    <row r="238" spans="1:15" x14ac:dyDescent="0.2">
      <c r="A238" s="18">
        <v>4325</v>
      </c>
      <c r="B238" s="18" t="s">
        <v>962</v>
      </c>
      <c r="C238" s="18">
        <v>95.6</v>
      </c>
      <c r="D238" s="18">
        <v>1000</v>
      </c>
      <c r="E238" s="18">
        <v>5</v>
      </c>
      <c r="F238" s="18">
        <v>500</v>
      </c>
      <c r="G238" s="8">
        <f t="shared" si="7"/>
        <v>5500</v>
      </c>
      <c r="H238" s="27">
        <f t="shared" si="9"/>
        <v>5.2301255230125529E-3</v>
      </c>
      <c r="I238" s="18">
        <v>0.5</v>
      </c>
      <c r="J238" s="18"/>
      <c r="K238" s="18"/>
      <c r="L238" s="18"/>
      <c r="M238" s="18"/>
    </row>
    <row r="239" spans="1:15" x14ac:dyDescent="0.2">
      <c r="A239" s="18">
        <v>4140</v>
      </c>
      <c r="B239" s="18" t="s">
        <v>524</v>
      </c>
      <c r="C239" s="18">
        <v>95</v>
      </c>
      <c r="D239" s="18">
        <v>500</v>
      </c>
      <c r="E239" s="18">
        <v>8</v>
      </c>
      <c r="F239" s="18">
        <v>350</v>
      </c>
      <c r="G239" s="8">
        <f t="shared" si="7"/>
        <v>4350</v>
      </c>
      <c r="H239" s="27">
        <f t="shared" si="9"/>
        <v>9.6153846153846159E-3</v>
      </c>
      <c r="I239" s="18">
        <v>0.8</v>
      </c>
      <c r="J239" s="18">
        <v>1.4</v>
      </c>
      <c r="K239" s="18"/>
      <c r="L239" s="18">
        <v>11.8</v>
      </c>
      <c r="M239" s="18"/>
    </row>
    <row r="240" spans="1:15" x14ac:dyDescent="0.2">
      <c r="A240" s="18">
        <v>4193</v>
      </c>
      <c r="B240" s="18" t="s">
        <v>495</v>
      </c>
      <c r="C240" s="18">
        <v>411.4</v>
      </c>
      <c r="D240" s="18">
        <v>500</v>
      </c>
      <c r="E240" s="18">
        <v>40</v>
      </c>
      <c r="F240" s="18">
        <v>439</v>
      </c>
      <c r="G240" s="8">
        <f t="shared" si="7"/>
        <v>20439</v>
      </c>
      <c r="H240" s="27">
        <f t="shared" si="9"/>
        <v>8.6737548964745392E-3</v>
      </c>
      <c r="I240" s="18">
        <v>3.1</v>
      </c>
      <c r="J240" s="18">
        <v>3.4</v>
      </c>
      <c r="K240" s="18">
        <v>5.3</v>
      </c>
      <c r="L240" s="18">
        <v>54</v>
      </c>
      <c r="M240" s="18"/>
    </row>
    <row r="241" spans="1:13" x14ac:dyDescent="0.2">
      <c r="A241" s="18">
        <v>4160</v>
      </c>
      <c r="B241" s="18" t="s">
        <v>963</v>
      </c>
      <c r="C241" s="18">
        <v>311.7</v>
      </c>
      <c r="D241" s="18">
        <v>1000</v>
      </c>
      <c r="E241" s="18">
        <v>23</v>
      </c>
      <c r="F241" s="18">
        <v>435</v>
      </c>
      <c r="G241" s="8">
        <f t="shared" si="7"/>
        <v>23435</v>
      </c>
      <c r="H241" s="27">
        <f t="shared" si="9"/>
        <v>7.4046649389115154E-3</v>
      </c>
      <c r="I241" s="18">
        <v>2</v>
      </c>
      <c r="J241" s="18">
        <v>3.7</v>
      </c>
      <c r="K241" s="18">
        <v>0.8</v>
      </c>
      <c r="L241" s="18">
        <v>41.6</v>
      </c>
      <c r="M241" s="18"/>
    </row>
    <row r="242" spans="1:13" x14ac:dyDescent="0.2">
      <c r="A242" s="18">
        <v>4161</v>
      </c>
      <c r="B242" s="18" t="s">
        <v>528</v>
      </c>
      <c r="C242" s="18">
        <v>198.6</v>
      </c>
      <c r="D242" s="18">
        <v>500</v>
      </c>
      <c r="E242" s="18">
        <v>26</v>
      </c>
      <c r="F242" s="18"/>
      <c r="G242" s="8">
        <f t="shared" si="7"/>
        <v>13000</v>
      </c>
      <c r="H242" s="27">
        <f t="shared" si="9"/>
        <v>2.0612485276796232E-2</v>
      </c>
      <c r="I242" s="18">
        <v>3.5</v>
      </c>
      <c r="J242" s="18">
        <v>3</v>
      </c>
      <c r="K242" s="18"/>
      <c r="L242" s="18">
        <v>28.8</v>
      </c>
      <c r="M242" s="18"/>
    </row>
    <row r="243" spans="1:13" x14ac:dyDescent="0.2">
      <c r="A243" s="18">
        <v>4017</v>
      </c>
      <c r="B243" s="18" t="s">
        <v>287</v>
      </c>
      <c r="C243" s="18">
        <v>269</v>
      </c>
      <c r="D243" s="18">
        <v>500</v>
      </c>
      <c r="E243" s="18">
        <v>53</v>
      </c>
      <c r="F243" s="18"/>
      <c r="G243" s="8">
        <f t="shared" si="7"/>
        <v>26500</v>
      </c>
      <c r="H243" s="27">
        <f t="shared" si="9"/>
        <v>1.1737089201877934E-2</v>
      </c>
      <c r="I243" s="18">
        <v>3</v>
      </c>
      <c r="J243" s="18">
        <v>4.7</v>
      </c>
      <c r="K243" s="18"/>
      <c r="L243" s="18">
        <v>13.4</v>
      </c>
      <c r="M243" s="18"/>
    </row>
    <row r="244" spans="1:13" x14ac:dyDescent="0.2">
      <c r="A244" s="18">
        <v>4159</v>
      </c>
      <c r="B244" s="18" t="s">
        <v>309</v>
      </c>
      <c r="C244" s="18"/>
      <c r="D244" s="18">
        <v>5000</v>
      </c>
      <c r="E244" s="18">
        <v>1</v>
      </c>
      <c r="F244" s="18">
        <v>950</v>
      </c>
      <c r="G244" s="8">
        <f t="shared" si="7"/>
        <v>5950</v>
      </c>
      <c r="H244" s="27">
        <f t="shared" si="9"/>
        <v>0</v>
      </c>
      <c r="I244" s="18"/>
      <c r="J244" s="18"/>
      <c r="K244" s="18"/>
      <c r="L244" s="18"/>
      <c r="M244" s="18"/>
    </row>
    <row r="245" spans="1:13" x14ac:dyDescent="0.2">
      <c r="A245" s="18">
        <v>4333</v>
      </c>
      <c r="B245" s="18" t="s">
        <v>964</v>
      </c>
      <c r="C245" s="18">
        <v>305</v>
      </c>
      <c r="D245" s="18">
        <v>2000</v>
      </c>
      <c r="E245" s="18">
        <v>30</v>
      </c>
      <c r="F245" s="18">
        <v>1250</v>
      </c>
      <c r="G245" s="8">
        <f t="shared" si="7"/>
        <v>61250</v>
      </c>
      <c r="H245" s="27">
        <f t="shared" si="9"/>
        <v>1.081967213114754E-2</v>
      </c>
      <c r="I245" s="18">
        <v>3.3</v>
      </c>
      <c r="J245" s="18"/>
      <c r="K245" s="18"/>
      <c r="L245" s="18"/>
      <c r="M245" s="18"/>
    </row>
    <row r="246" spans="1:13" x14ac:dyDescent="0.2">
      <c r="A246" s="18">
        <v>4161</v>
      </c>
      <c r="B246" s="18" t="s">
        <v>528</v>
      </c>
      <c r="C246" s="18">
        <v>131</v>
      </c>
      <c r="D246" s="18">
        <v>500</v>
      </c>
      <c r="E246" s="18">
        <v>22</v>
      </c>
      <c r="F246" s="18">
        <v>406</v>
      </c>
      <c r="G246" s="8">
        <f t="shared" si="7"/>
        <v>11406</v>
      </c>
      <c r="H246" s="27">
        <f t="shared" si="9"/>
        <v>0</v>
      </c>
      <c r="I246" s="18"/>
      <c r="J246" s="18">
        <v>3.8</v>
      </c>
      <c r="K246" s="18"/>
      <c r="L246" s="18">
        <v>24.7</v>
      </c>
      <c r="M246" s="18"/>
    </row>
    <row r="247" spans="1:13" x14ac:dyDescent="0.2">
      <c r="A247" s="18">
        <v>4017</v>
      </c>
      <c r="B247" s="18" t="s">
        <v>287</v>
      </c>
      <c r="C247" s="18">
        <v>252.2</v>
      </c>
      <c r="D247" s="18">
        <v>500</v>
      </c>
      <c r="E247" s="18">
        <v>100</v>
      </c>
      <c r="F247" s="18"/>
      <c r="G247" s="8">
        <f t="shared" si="7"/>
        <v>50000</v>
      </c>
      <c r="H247" s="27">
        <f t="shared" si="9"/>
        <v>2.1701388888888892E-2</v>
      </c>
      <c r="I247" s="18">
        <v>5</v>
      </c>
      <c r="J247" s="18">
        <v>12</v>
      </c>
      <c r="K247" s="18"/>
      <c r="L247" s="18">
        <v>21.8</v>
      </c>
      <c r="M247" s="18"/>
    </row>
    <row r="248" spans="1:13" x14ac:dyDescent="0.2">
      <c r="A248" s="18">
        <v>4224</v>
      </c>
      <c r="B248" s="18" t="s">
        <v>965</v>
      </c>
      <c r="C248" s="18">
        <v>50.1</v>
      </c>
      <c r="D248" s="18">
        <v>250</v>
      </c>
      <c r="E248" s="18">
        <v>7</v>
      </c>
      <c r="F248" s="18">
        <v>90</v>
      </c>
      <c r="G248" s="8">
        <f t="shared" si="7"/>
        <v>1840</v>
      </c>
      <c r="H248" s="27">
        <f t="shared" si="9"/>
        <v>5.9880239520958079E-3</v>
      </c>
      <c r="I248" s="18">
        <v>0.3</v>
      </c>
      <c r="J248" s="18"/>
      <c r="K248" s="18"/>
      <c r="L248" s="18"/>
      <c r="M248" s="18"/>
    </row>
    <row r="249" spans="1:13" x14ac:dyDescent="0.2">
      <c r="A249" s="18">
        <v>4134</v>
      </c>
      <c r="B249" s="18" t="s">
        <v>966</v>
      </c>
      <c r="C249" s="18">
        <v>162.30000000000001</v>
      </c>
      <c r="D249" s="18">
        <v>3000</v>
      </c>
      <c r="E249" s="18">
        <v>19</v>
      </c>
      <c r="F249" s="18"/>
      <c r="G249" s="8">
        <f t="shared" si="7"/>
        <v>57000</v>
      </c>
      <c r="H249" s="27">
        <f t="shared" si="9"/>
        <v>1.5403573629081947E-2</v>
      </c>
      <c r="I249" s="18">
        <v>2.5</v>
      </c>
      <c r="J249" s="18"/>
      <c r="K249" s="18"/>
      <c r="L249" s="18"/>
      <c r="M249" s="18"/>
    </row>
    <row r="250" spans="1:13" x14ac:dyDescent="0.2">
      <c r="A250" s="18">
        <v>4279</v>
      </c>
      <c r="B250" s="18" t="s">
        <v>967</v>
      </c>
      <c r="C250" s="18">
        <v>170.5</v>
      </c>
      <c r="D250" s="18">
        <v>800</v>
      </c>
      <c r="E250" s="18">
        <v>13</v>
      </c>
      <c r="F250" s="18">
        <v>300</v>
      </c>
      <c r="G250" s="8">
        <f t="shared" si="7"/>
        <v>10700</v>
      </c>
      <c r="H250" s="27">
        <f t="shared" si="9"/>
        <v>2.2287390029325511E-2</v>
      </c>
      <c r="I250" s="18">
        <v>3.8</v>
      </c>
      <c r="J250" s="18"/>
      <c r="K250" s="18"/>
      <c r="L250" s="18"/>
      <c r="M250" s="18"/>
    </row>
    <row r="251" spans="1:13" x14ac:dyDescent="0.2">
      <c r="A251" s="18">
        <v>4190</v>
      </c>
      <c r="B251" s="18" t="s">
        <v>425</v>
      </c>
      <c r="C251" s="18">
        <v>158</v>
      </c>
      <c r="D251" s="18">
        <v>500</v>
      </c>
      <c r="E251" s="18">
        <v>17</v>
      </c>
      <c r="F251" s="18">
        <v>485</v>
      </c>
      <c r="G251" s="8">
        <f t="shared" si="7"/>
        <v>8985</v>
      </c>
      <c r="H251" s="27">
        <f t="shared" si="9"/>
        <v>3.1430404105195639E-2</v>
      </c>
      <c r="I251" s="18">
        <v>4.9000000000000004</v>
      </c>
      <c r="J251" s="18">
        <v>3.1</v>
      </c>
      <c r="K251" s="18"/>
      <c r="L251" s="18">
        <v>2.1</v>
      </c>
      <c r="M251" s="18"/>
    </row>
    <row r="252" spans="1:13" x14ac:dyDescent="0.2">
      <c r="A252" s="18">
        <v>4384</v>
      </c>
      <c r="B252" s="18" t="s">
        <v>968</v>
      </c>
      <c r="C252" s="18">
        <v>157</v>
      </c>
      <c r="D252" s="18">
        <v>1000</v>
      </c>
      <c r="E252" s="18">
        <v>17</v>
      </c>
      <c r="F252" s="18">
        <v>323</v>
      </c>
      <c r="G252" s="8">
        <f t="shared" si="7"/>
        <v>17323</v>
      </c>
      <c r="H252" s="27">
        <f t="shared" si="9"/>
        <v>1.0416666666666666E-2</v>
      </c>
      <c r="I252" s="18">
        <v>1.4</v>
      </c>
      <c r="J252" s="18"/>
      <c r="K252" s="18"/>
      <c r="L252" s="18">
        <v>22.6</v>
      </c>
      <c r="M252" s="18"/>
    </row>
    <row r="253" spans="1:13" x14ac:dyDescent="0.2">
      <c r="A253" s="18">
        <v>4227</v>
      </c>
      <c r="B253" s="18" t="s">
        <v>969</v>
      </c>
      <c r="C253" s="18">
        <v>181</v>
      </c>
      <c r="D253" s="18">
        <v>700</v>
      </c>
      <c r="E253" s="18">
        <v>15</v>
      </c>
      <c r="F253" s="18">
        <v>170</v>
      </c>
      <c r="G253" s="8">
        <f t="shared" si="7"/>
        <v>10670</v>
      </c>
      <c r="H253" s="27">
        <f t="shared" si="9"/>
        <v>6.6298342541436465E-3</v>
      </c>
      <c r="I253" s="18">
        <v>1.2</v>
      </c>
      <c r="J253" s="18"/>
      <c r="K253" s="18"/>
      <c r="L253" s="18"/>
      <c r="M253" s="18"/>
    </row>
    <row r="254" spans="1:13" x14ac:dyDescent="0.2">
      <c r="A254" s="18">
        <v>4218</v>
      </c>
      <c r="B254" s="18" t="s">
        <v>485</v>
      </c>
      <c r="C254" s="18">
        <v>312.7</v>
      </c>
      <c r="D254" s="18">
        <v>500</v>
      </c>
      <c r="E254" s="18">
        <v>61</v>
      </c>
      <c r="F254" s="18">
        <v>300</v>
      </c>
      <c r="G254" s="8">
        <f t="shared" si="7"/>
        <v>30800</v>
      </c>
      <c r="H254" s="27">
        <f t="shared" si="9"/>
        <v>3.9881831610044313E-2</v>
      </c>
      <c r="I254" s="18">
        <v>10.8</v>
      </c>
      <c r="J254" s="18"/>
      <c r="K254" s="18">
        <v>15</v>
      </c>
      <c r="L254" s="18">
        <v>41.9</v>
      </c>
      <c r="M254" s="18"/>
    </row>
    <row r="255" spans="1:13" x14ac:dyDescent="0.2">
      <c r="A255" s="18">
        <v>4191</v>
      </c>
      <c r="B255" s="18" t="s">
        <v>424</v>
      </c>
      <c r="C255" s="18">
        <v>203.9</v>
      </c>
      <c r="D255" s="18">
        <v>500</v>
      </c>
      <c r="E255" s="18">
        <v>18</v>
      </c>
      <c r="F255" s="18">
        <v>300</v>
      </c>
      <c r="G255" s="8">
        <f t="shared" si="7"/>
        <v>9300</v>
      </c>
      <c r="H255" s="27">
        <f t="shared" si="9"/>
        <v>1.7839444995044598E-2</v>
      </c>
      <c r="I255" s="18">
        <v>3.6</v>
      </c>
      <c r="J255" s="18">
        <v>4</v>
      </c>
      <c r="K255" s="18"/>
      <c r="L255" s="18">
        <v>2.1</v>
      </c>
      <c r="M255" s="18"/>
    </row>
    <row r="256" spans="1:13" x14ac:dyDescent="0.2">
      <c r="A256" s="18">
        <v>4185</v>
      </c>
      <c r="B256" s="18" t="s">
        <v>970</v>
      </c>
      <c r="C256" s="18">
        <v>45</v>
      </c>
      <c r="D256" s="18">
        <v>2000</v>
      </c>
      <c r="E256" s="18">
        <v>4</v>
      </c>
      <c r="F256" s="18"/>
      <c r="G256" s="8">
        <f t="shared" si="7"/>
        <v>8000</v>
      </c>
      <c r="H256" s="27">
        <f t="shared" si="9"/>
        <v>2.2222222222222223E-2</v>
      </c>
      <c r="I256" s="18">
        <v>1</v>
      </c>
      <c r="J256" s="18"/>
      <c r="K256" s="18"/>
      <c r="L256" s="18"/>
      <c r="M256" s="18"/>
    </row>
    <row r="257" spans="1:13" x14ac:dyDescent="0.2">
      <c r="A257" s="18">
        <v>4192</v>
      </c>
      <c r="B257" s="18" t="s">
        <v>472</v>
      </c>
      <c r="C257" s="18">
        <v>81.7</v>
      </c>
      <c r="D257" s="18">
        <v>250</v>
      </c>
      <c r="E257" s="18">
        <v>7</v>
      </c>
      <c r="F257" s="18">
        <v>25</v>
      </c>
      <c r="G257" s="8">
        <f t="shared" si="7"/>
        <v>1775</v>
      </c>
      <c r="H257" s="27">
        <f t="shared" si="9"/>
        <v>2.8151774785801709E-2</v>
      </c>
      <c r="I257" s="18">
        <v>2.2999999999999998</v>
      </c>
      <c r="J257" s="18">
        <v>2.9</v>
      </c>
      <c r="K257" s="18"/>
      <c r="L257" s="18"/>
      <c r="M257" s="18"/>
    </row>
    <row r="258" spans="1:13" x14ac:dyDescent="0.2">
      <c r="A258" s="18">
        <v>4206</v>
      </c>
      <c r="B258" s="18" t="s">
        <v>971</v>
      </c>
      <c r="C258" s="18">
        <v>72.8</v>
      </c>
      <c r="D258" s="18">
        <v>800</v>
      </c>
      <c r="E258" s="18">
        <v>15</v>
      </c>
      <c r="F258" s="18"/>
      <c r="G258" s="8">
        <f t="shared" si="7"/>
        <v>12000</v>
      </c>
      <c r="H258" s="27">
        <f t="shared" si="9"/>
        <v>2.1172638436482087E-2</v>
      </c>
      <c r="I258" s="18">
        <v>1.3</v>
      </c>
      <c r="J258" s="18">
        <v>1.1000000000000001</v>
      </c>
      <c r="K258" s="18"/>
      <c r="L258" s="18">
        <v>11.4</v>
      </c>
      <c r="M258" s="18"/>
    </row>
    <row r="259" spans="1:13" x14ac:dyDescent="0.2">
      <c r="A259" s="18">
        <v>4186</v>
      </c>
      <c r="B259" s="18" t="s">
        <v>972</v>
      </c>
      <c r="C259" s="18"/>
      <c r="D259" s="18">
        <v>1500</v>
      </c>
      <c r="E259" s="18">
        <v>8</v>
      </c>
      <c r="F259" s="18"/>
      <c r="G259" s="8">
        <f t="shared" ref="G259:G322" si="10">D259*E259+F259</f>
        <v>12000</v>
      </c>
      <c r="H259" s="27">
        <f t="shared" si="9"/>
        <v>0</v>
      </c>
      <c r="I259" s="18">
        <v>2</v>
      </c>
      <c r="J259" s="18"/>
      <c r="K259" s="18"/>
      <c r="L259" s="18"/>
      <c r="M259" s="18"/>
    </row>
    <row r="260" spans="1:13" x14ac:dyDescent="0.2">
      <c r="A260" s="18">
        <v>4301</v>
      </c>
      <c r="B260" s="18" t="s">
        <v>973</v>
      </c>
      <c r="C260" s="18"/>
      <c r="D260" s="18">
        <v>5000</v>
      </c>
      <c r="E260" s="18">
        <v>1</v>
      </c>
      <c r="F260" s="18"/>
      <c r="G260" s="8">
        <f t="shared" si="10"/>
        <v>5000</v>
      </c>
      <c r="H260" s="27">
        <f t="shared" si="9"/>
        <v>0</v>
      </c>
      <c r="I260" s="18">
        <v>0.9</v>
      </c>
      <c r="J260" s="18"/>
      <c r="K260" s="18"/>
      <c r="L260" s="18"/>
      <c r="M260" s="18"/>
    </row>
    <row r="261" spans="1:13" x14ac:dyDescent="0.2">
      <c r="A261" s="18">
        <v>4332</v>
      </c>
      <c r="B261" s="18" t="s">
        <v>374</v>
      </c>
      <c r="C261" s="18">
        <v>311.60000000000002</v>
      </c>
      <c r="D261" s="18">
        <v>5000</v>
      </c>
      <c r="E261" s="18">
        <v>22</v>
      </c>
      <c r="F261" s="18">
        <v>1970</v>
      </c>
      <c r="G261" s="8">
        <f t="shared" si="10"/>
        <v>111970</v>
      </c>
      <c r="H261" s="27">
        <f t="shared" si="9"/>
        <v>1.0269576379974325E-2</v>
      </c>
      <c r="I261" s="18">
        <v>3.2</v>
      </c>
      <c r="J261" s="18"/>
      <c r="K261" s="18"/>
      <c r="L261" s="18"/>
      <c r="M261" s="18"/>
    </row>
    <row r="262" spans="1:13" x14ac:dyDescent="0.2">
      <c r="A262" s="18">
        <v>4301</v>
      </c>
      <c r="B262" s="18" t="s">
        <v>973</v>
      </c>
      <c r="C262" s="18">
        <v>250</v>
      </c>
      <c r="D262" s="18">
        <v>5000</v>
      </c>
      <c r="E262" s="18">
        <v>18</v>
      </c>
      <c r="F262" s="18">
        <v>1900</v>
      </c>
      <c r="G262" s="8">
        <f t="shared" si="10"/>
        <v>91900</v>
      </c>
      <c r="H262" s="27">
        <f t="shared" si="9"/>
        <v>1.24E-2</v>
      </c>
      <c r="I262" s="18">
        <v>3.1</v>
      </c>
      <c r="J262" s="18"/>
      <c r="K262" s="18"/>
      <c r="L262" s="18"/>
      <c r="M262" s="18"/>
    </row>
    <row r="263" spans="1:13" x14ac:dyDescent="0.2">
      <c r="A263" s="18">
        <v>4163</v>
      </c>
      <c r="B263" s="18" t="s">
        <v>198</v>
      </c>
      <c r="C263" s="18">
        <v>407</v>
      </c>
      <c r="D263" s="18">
        <v>1000</v>
      </c>
      <c r="E263" s="18">
        <v>47</v>
      </c>
      <c r="F263" s="18"/>
      <c r="G263" s="8">
        <f t="shared" si="10"/>
        <v>47000</v>
      </c>
      <c r="H263" s="27">
        <f t="shared" si="9"/>
        <v>5.1597051597051602E-3</v>
      </c>
      <c r="I263" s="18">
        <v>2.1</v>
      </c>
      <c r="J263" s="18"/>
      <c r="K263" s="18"/>
      <c r="L263" s="18"/>
      <c r="M263" s="18"/>
    </row>
    <row r="264" spans="1:13" x14ac:dyDescent="0.2">
      <c r="A264" s="18">
        <v>4338</v>
      </c>
      <c r="B264" s="18" t="s">
        <v>974</v>
      </c>
      <c r="C264" s="18">
        <v>163.6</v>
      </c>
      <c r="D264" s="18">
        <v>1300</v>
      </c>
      <c r="E264" s="18">
        <v>15</v>
      </c>
      <c r="F264" s="18">
        <v>950</v>
      </c>
      <c r="G264" s="8">
        <f t="shared" si="10"/>
        <v>20450</v>
      </c>
      <c r="H264" s="27">
        <f t="shared" si="9"/>
        <v>3.0562347188264061E-3</v>
      </c>
      <c r="I264" s="18">
        <v>0.5</v>
      </c>
      <c r="J264" s="18"/>
      <c r="K264" s="18">
        <v>6.4</v>
      </c>
      <c r="L264" s="18"/>
      <c r="M264" s="18"/>
    </row>
    <row r="265" spans="1:13" x14ac:dyDescent="0.2">
      <c r="A265" s="18">
        <v>4380</v>
      </c>
      <c r="B265" s="18" t="s">
        <v>251</v>
      </c>
      <c r="C265" s="18">
        <v>326</v>
      </c>
      <c r="D265" s="18">
        <v>1300</v>
      </c>
      <c r="E265" s="18">
        <v>40</v>
      </c>
      <c r="F265" s="18">
        <v>600</v>
      </c>
      <c r="G265" s="8">
        <f t="shared" si="10"/>
        <v>52600</v>
      </c>
      <c r="H265" s="27">
        <f t="shared" si="9"/>
        <v>3.9877300613496936E-3</v>
      </c>
      <c r="I265" s="18">
        <v>1.3</v>
      </c>
      <c r="J265" s="18"/>
      <c r="K265" s="18">
        <v>28.5</v>
      </c>
      <c r="L265" s="18"/>
      <c r="M265" s="18"/>
    </row>
    <row r="266" spans="1:13" x14ac:dyDescent="0.2">
      <c r="A266" s="18">
        <v>4328</v>
      </c>
      <c r="B266" s="18" t="s">
        <v>250</v>
      </c>
      <c r="C266" s="18">
        <v>62.3</v>
      </c>
      <c r="D266" s="18">
        <v>1000</v>
      </c>
      <c r="E266" s="18">
        <v>4</v>
      </c>
      <c r="F266" s="18">
        <v>570</v>
      </c>
      <c r="G266" s="8">
        <f t="shared" si="10"/>
        <v>4570</v>
      </c>
      <c r="H266" s="27">
        <f t="shared" si="9"/>
        <v>1.2841091492776888E-2</v>
      </c>
      <c r="I266" s="18">
        <v>0.8</v>
      </c>
      <c r="J266" s="18"/>
      <c r="K266" s="18">
        <v>4.0999999999999996</v>
      </c>
      <c r="L266" s="18"/>
      <c r="M266" s="18"/>
    </row>
    <row r="267" spans="1:13" x14ac:dyDescent="0.2">
      <c r="A267" s="18">
        <v>4017</v>
      </c>
      <c r="B267" s="18" t="s">
        <v>287</v>
      </c>
      <c r="C267" s="18">
        <v>250</v>
      </c>
      <c r="D267" s="18">
        <v>500</v>
      </c>
      <c r="E267" s="18">
        <v>56</v>
      </c>
      <c r="F267" s="18">
        <v>400</v>
      </c>
      <c r="G267" s="8">
        <f t="shared" si="10"/>
        <v>28400</v>
      </c>
      <c r="H267" s="27">
        <f t="shared" si="9"/>
        <v>2.0338983050847456E-2</v>
      </c>
      <c r="I267" s="18">
        <v>4.8</v>
      </c>
      <c r="J267" s="18">
        <v>4.8</v>
      </c>
      <c r="K267" s="18">
        <v>3</v>
      </c>
      <c r="L267" s="18">
        <v>14</v>
      </c>
      <c r="M267" s="18"/>
    </row>
    <row r="268" spans="1:13" x14ac:dyDescent="0.2">
      <c r="A268" s="18">
        <v>3713</v>
      </c>
      <c r="B268" s="18" t="s">
        <v>618</v>
      </c>
      <c r="C268" s="18">
        <v>240</v>
      </c>
      <c r="D268" s="18">
        <v>200</v>
      </c>
      <c r="E268" s="18">
        <v>13</v>
      </c>
      <c r="F268" s="18"/>
      <c r="G268" s="8">
        <f t="shared" si="10"/>
        <v>2600</v>
      </c>
      <c r="H268" s="27">
        <f t="shared" si="9"/>
        <v>4.083333333333334E-2</v>
      </c>
      <c r="I268" s="18">
        <v>9.8000000000000007</v>
      </c>
      <c r="J268" s="18">
        <v>10.1</v>
      </c>
      <c r="K268" s="18"/>
      <c r="L268" s="18"/>
      <c r="M268" s="18"/>
    </row>
    <row r="269" spans="1:13" x14ac:dyDescent="0.2">
      <c r="A269" s="18">
        <v>4185</v>
      </c>
      <c r="B269" s="18" t="s">
        <v>975</v>
      </c>
      <c r="C269" s="18"/>
      <c r="D269" s="18">
        <v>2000</v>
      </c>
      <c r="E269" s="18">
        <v>1</v>
      </c>
      <c r="F269" s="18"/>
      <c r="G269" s="8">
        <f t="shared" si="10"/>
        <v>2000</v>
      </c>
      <c r="H269" s="27">
        <f t="shared" si="9"/>
        <v>0</v>
      </c>
      <c r="I269" s="18"/>
      <c r="J269" s="18"/>
      <c r="K269" s="18"/>
      <c r="L269" s="18"/>
      <c r="M269" s="18"/>
    </row>
    <row r="270" spans="1:13" x14ac:dyDescent="0.2">
      <c r="A270" s="18">
        <v>4187</v>
      </c>
      <c r="B270" s="18" t="s">
        <v>976</v>
      </c>
      <c r="C270" s="18">
        <v>75.5</v>
      </c>
      <c r="D270" s="18">
        <v>1000</v>
      </c>
      <c r="E270" s="18">
        <v>19</v>
      </c>
      <c r="F270" s="18"/>
      <c r="G270" s="8">
        <f t="shared" si="10"/>
        <v>19000</v>
      </c>
      <c r="H270" s="27">
        <f t="shared" si="9"/>
        <v>4.5033112582781455E-2</v>
      </c>
      <c r="I270" s="18">
        <v>3.4</v>
      </c>
      <c r="J270" s="18"/>
      <c r="K270" s="18"/>
      <c r="L270" s="18"/>
      <c r="M270" s="18"/>
    </row>
    <row r="271" spans="1:13" x14ac:dyDescent="0.2">
      <c r="A271" s="18">
        <v>4186</v>
      </c>
      <c r="B271" s="18" t="s">
        <v>972</v>
      </c>
      <c r="C271" s="18">
        <v>97.5</v>
      </c>
      <c r="D271" s="18">
        <v>1500</v>
      </c>
      <c r="E271" s="18">
        <v>7</v>
      </c>
      <c r="F271" s="18">
        <v>1400</v>
      </c>
      <c r="G271" s="8">
        <f t="shared" si="10"/>
        <v>11900</v>
      </c>
      <c r="H271" s="27">
        <f t="shared" si="9"/>
        <v>4.205128205128205E-2</v>
      </c>
      <c r="I271" s="18">
        <v>4.0999999999999996</v>
      </c>
      <c r="J271" s="18"/>
      <c r="K271" s="18"/>
      <c r="L271" s="18"/>
      <c r="M271" s="18"/>
    </row>
    <row r="272" spans="1:13" x14ac:dyDescent="0.2">
      <c r="A272" s="18">
        <v>4188</v>
      </c>
      <c r="B272" s="18" t="s">
        <v>508</v>
      </c>
      <c r="C272" s="18">
        <v>64</v>
      </c>
      <c r="D272" s="18">
        <v>2000</v>
      </c>
      <c r="E272" s="18">
        <v>5</v>
      </c>
      <c r="F272" s="18"/>
      <c r="G272" s="8">
        <f t="shared" si="10"/>
        <v>10000</v>
      </c>
      <c r="H272" s="27">
        <f t="shared" si="9"/>
        <v>3.5937499999999997E-2</v>
      </c>
      <c r="I272" s="18">
        <v>2.2999999999999998</v>
      </c>
      <c r="J272" s="18"/>
      <c r="K272" s="18"/>
      <c r="L272" s="18"/>
      <c r="M272" s="18"/>
    </row>
    <row r="273" spans="1:13" x14ac:dyDescent="0.2">
      <c r="A273" s="18">
        <v>4255</v>
      </c>
      <c r="B273" s="18" t="s">
        <v>508</v>
      </c>
      <c r="C273" s="18"/>
      <c r="D273" s="18">
        <v>2000</v>
      </c>
      <c r="E273" s="18">
        <v>7</v>
      </c>
      <c r="F273" s="18">
        <v>1000</v>
      </c>
      <c r="G273" s="8">
        <f t="shared" si="10"/>
        <v>15000</v>
      </c>
      <c r="H273" s="27">
        <f t="shared" si="9"/>
        <v>0</v>
      </c>
      <c r="I273" s="18">
        <v>3.8</v>
      </c>
      <c r="J273" s="18"/>
      <c r="K273" s="18"/>
      <c r="L273" s="18"/>
      <c r="M273" s="18"/>
    </row>
    <row r="274" spans="1:13" x14ac:dyDescent="0.2">
      <c r="A274" s="18">
        <v>4206</v>
      </c>
      <c r="B274" s="18" t="s">
        <v>971</v>
      </c>
      <c r="C274" s="18">
        <v>31.2</v>
      </c>
      <c r="D274" s="18">
        <v>800</v>
      </c>
      <c r="E274" s="18">
        <v>3</v>
      </c>
      <c r="F274" s="18">
        <v>200</v>
      </c>
      <c r="G274" s="8">
        <f t="shared" si="10"/>
        <v>2600</v>
      </c>
      <c r="H274" s="27">
        <f t="shared" si="9"/>
        <v>2.4221453287197232E-2</v>
      </c>
      <c r="I274" s="18">
        <v>0.7</v>
      </c>
      <c r="J274" s="18"/>
      <c r="K274" s="18"/>
      <c r="L274" s="18">
        <v>2.2999999999999998</v>
      </c>
      <c r="M274" s="18"/>
    </row>
    <row r="275" spans="1:13" x14ac:dyDescent="0.2">
      <c r="A275" s="18">
        <v>4353</v>
      </c>
      <c r="B275" s="18" t="s">
        <v>603</v>
      </c>
      <c r="C275" s="18">
        <v>131</v>
      </c>
      <c r="D275" s="18">
        <v>500</v>
      </c>
      <c r="E275" s="18">
        <v>12</v>
      </c>
      <c r="F275" s="18"/>
      <c r="G275" s="8">
        <f t="shared" si="10"/>
        <v>6000</v>
      </c>
      <c r="H275" s="27">
        <f t="shared" si="9"/>
        <v>6.6960352422907488E-2</v>
      </c>
      <c r="I275" s="18">
        <v>7.6</v>
      </c>
      <c r="J275" s="18"/>
      <c r="K275" s="18"/>
      <c r="L275" s="18">
        <v>17.5</v>
      </c>
      <c r="M275" s="18"/>
    </row>
    <row r="276" spans="1:13" x14ac:dyDescent="0.2">
      <c r="A276" s="18">
        <v>3714</v>
      </c>
      <c r="B276" s="18" t="s">
        <v>618</v>
      </c>
      <c r="C276" s="18">
        <v>249.9</v>
      </c>
      <c r="D276" s="18">
        <v>200</v>
      </c>
      <c r="E276" s="18">
        <v>15</v>
      </c>
      <c r="F276" s="18">
        <v>175</v>
      </c>
      <c r="G276" s="8">
        <f t="shared" si="10"/>
        <v>3175</v>
      </c>
      <c r="H276" s="27">
        <f t="shared" si="9"/>
        <v>0</v>
      </c>
      <c r="I276" s="18"/>
      <c r="J276" s="18">
        <v>12.4</v>
      </c>
      <c r="K276" s="18"/>
      <c r="L276" s="18"/>
      <c r="M276" s="18"/>
    </row>
    <row r="277" spans="1:13" x14ac:dyDescent="0.2">
      <c r="A277" s="18">
        <v>4284</v>
      </c>
      <c r="B277" s="18" t="s">
        <v>220</v>
      </c>
      <c r="C277" s="18">
        <v>211.8</v>
      </c>
      <c r="D277" s="18">
        <v>2000</v>
      </c>
      <c r="E277" s="18">
        <v>33</v>
      </c>
      <c r="F277" s="18">
        <v>500</v>
      </c>
      <c r="G277" s="8">
        <f t="shared" si="10"/>
        <v>66500</v>
      </c>
      <c r="H277" s="27">
        <f t="shared" si="9"/>
        <v>1.8885741265344666E-3</v>
      </c>
      <c r="I277" s="18">
        <v>0.4</v>
      </c>
      <c r="J277" s="18"/>
      <c r="K277" s="18"/>
      <c r="L277" s="18"/>
      <c r="M277" s="18"/>
    </row>
    <row r="278" spans="1:13" x14ac:dyDescent="0.2">
      <c r="A278" s="18">
        <v>4185</v>
      </c>
      <c r="B278" s="18" t="s">
        <v>975</v>
      </c>
      <c r="C278" s="18"/>
      <c r="D278" s="18">
        <v>2000</v>
      </c>
      <c r="E278" s="18">
        <v>1</v>
      </c>
      <c r="F278" s="18">
        <v>1700</v>
      </c>
      <c r="G278" s="8">
        <f t="shared" si="10"/>
        <v>3700</v>
      </c>
      <c r="H278" s="27">
        <f t="shared" si="9"/>
        <v>0</v>
      </c>
      <c r="I278" s="18">
        <v>0.7</v>
      </c>
      <c r="J278" s="18"/>
      <c r="K278" s="18"/>
      <c r="L278" s="18"/>
      <c r="M278" s="18"/>
    </row>
    <row r="279" spans="1:13" x14ac:dyDescent="0.2">
      <c r="A279" s="18">
        <v>3764</v>
      </c>
      <c r="B279" s="18" t="s">
        <v>482</v>
      </c>
      <c r="C279" s="18"/>
      <c r="D279" s="18">
        <v>2000</v>
      </c>
      <c r="E279" s="18">
        <v>20</v>
      </c>
      <c r="F279" s="18"/>
      <c r="G279" s="8">
        <f t="shared" si="10"/>
        <v>40000</v>
      </c>
      <c r="H279" s="27">
        <f t="shared" si="9"/>
        <v>0</v>
      </c>
      <c r="I279" s="18"/>
      <c r="J279" s="18"/>
      <c r="K279" s="18"/>
      <c r="L279" s="18"/>
      <c r="M279" s="18"/>
    </row>
    <row r="280" spans="1:13" x14ac:dyDescent="0.2">
      <c r="A280" s="18">
        <v>3713</v>
      </c>
      <c r="B280" s="18" t="s">
        <v>618</v>
      </c>
      <c r="C280" s="18"/>
      <c r="D280" s="18">
        <v>200</v>
      </c>
      <c r="E280" s="18">
        <v>6</v>
      </c>
      <c r="F280" s="18"/>
      <c r="G280" s="8">
        <f t="shared" si="10"/>
        <v>1200</v>
      </c>
      <c r="H280" s="27">
        <f t="shared" si="9"/>
        <v>0</v>
      </c>
      <c r="I280" s="18"/>
      <c r="J280" s="18"/>
      <c r="K280" s="18"/>
      <c r="L280" s="18"/>
      <c r="M280" s="18"/>
    </row>
    <row r="281" spans="1:13" x14ac:dyDescent="0.2">
      <c r="A281" s="18">
        <v>4163</v>
      </c>
      <c r="B281" s="18" t="s">
        <v>198</v>
      </c>
      <c r="C281" s="18">
        <v>74.900000000000006</v>
      </c>
      <c r="D281" s="18">
        <v>1000</v>
      </c>
      <c r="E281" s="18">
        <v>11</v>
      </c>
      <c r="F281" s="18"/>
      <c r="G281" s="8">
        <f t="shared" si="10"/>
        <v>11000</v>
      </c>
      <c r="H281" s="27">
        <f t="shared" si="9"/>
        <v>3.2042723631508674E-2</v>
      </c>
      <c r="I281" s="18">
        <v>2.4</v>
      </c>
      <c r="J281" s="18"/>
      <c r="K281" s="18"/>
      <c r="L281" s="18"/>
      <c r="M281" s="18"/>
    </row>
    <row r="282" spans="1:13" x14ac:dyDescent="0.2">
      <c r="A282" s="18">
        <v>4207</v>
      </c>
      <c r="B282" s="18" t="s">
        <v>977</v>
      </c>
      <c r="C282" s="18">
        <v>97</v>
      </c>
      <c r="D282" s="18">
        <v>1000</v>
      </c>
      <c r="E282" s="18">
        <v>8</v>
      </c>
      <c r="F282" s="18">
        <v>400</v>
      </c>
      <c r="G282" s="8">
        <f t="shared" si="10"/>
        <v>8400</v>
      </c>
      <c r="H282" s="27">
        <f t="shared" si="9"/>
        <v>7.2164948453608243E-3</v>
      </c>
      <c r="I282" s="18">
        <v>0.7</v>
      </c>
      <c r="J282" s="18"/>
      <c r="K282" s="18"/>
      <c r="L282" s="18"/>
      <c r="M282" s="18"/>
    </row>
    <row r="283" spans="1:13" x14ac:dyDescent="0.2">
      <c r="A283" s="18">
        <v>4122</v>
      </c>
      <c r="B283" s="18" t="s">
        <v>978</v>
      </c>
      <c r="C283" s="18">
        <v>865.4</v>
      </c>
      <c r="D283" s="18">
        <v>500</v>
      </c>
      <c r="E283" s="18">
        <v>73</v>
      </c>
      <c r="F283" s="18"/>
      <c r="G283" s="8">
        <f t="shared" si="10"/>
        <v>36500</v>
      </c>
      <c r="H283" s="27">
        <f t="shared" si="9"/>
        <v>5.6621215622833379E-3</v>
      </c>
      <c r="I283" s="18">
        <v>4.9000000000000004</v>
      </c>
      <c r="J283" s="18">
        <v>6</v>
      </c>
      <c r="K283" s="18"/>
      <c r="L283" s="18"/>
      <c r="M283" s="18"/>
    </row>
    <row r="284" spans="1:13" x14ac:dyDescent="0.2">
      <c r="A284" s="18">
        <v>4327</v>
      </c>
      <c r="B284" s="18" t="s">
        <v>250</v>
      </c>
      <c r="C284" s="18">
        <v>69</v>
      </c>
      <c r="D284" s="18">
        <v>1000</v>
      </c>
      <c r="E284" s="18">
        <v>5</v>
      </c>
      <c r="F284" s="18">
        <v>630</v>
      </c>
      <c r="G284" s="8">
        <f t="shared" si="10"/>
        <v>5630</v>
      </c>
      <c r="H284" s="27">
        <f t="shared" si="9"/>
        <v>8.6956521739130436E-3</v>
      </c>
      <c r="I284" s="18">
        <v>0.6</v>
      </c>
      <c r="J284" s="18"/>
      <c r="K284" s="18"/>
      <c r="L284" s="18"/>
      <c r="M284" s="18"/>
    </row>
    <row r="285" spans="1:13" x14ac:dyDescent="0.2">
      <c r="A285" s="18">
        <v>4336</v>
      </c>
      <c r="B285" s="18" t="s">
        <v>91</v>
      </c>
      <c r="C285" s="18">
        <v>132.9</v>
      </c>
      <c r="D285" s="18">
        <v>2000</v>
      </c>
      <c r="E285" s="18">
        <v>9</v>
      </c>
      <c r="F285" s="18">
        <v>200</v>
      </c>
      <c r="G285" s="8">
        <f t="shared" si="10"/>
        <v>18200</v>
      </c>
      <c r="H285" s="27">
        <f t="shared" si="9"/>
        <v>0</v>
      </c>
      <c r="I285" s="18"/>
      <c r="J285" s="18"/>
      <c r="K285" s="18">
        <v>3</v>
      </c>
      <c r="L285" s="18">
        <v>0.7</v>
      </c>
      <c r="M285" s="18" t="s">
        <v>979</v>
      </c>
    </row>
    <row r="286" spans="1:13" x14ac:dyDescent="0.2">
      <c r="A286" s="18">
        <v>4335</v>
      </c>
      <c r="B286" s="18" t="s">
        <v>91</v>
      </c>
      <c r="C286" s="18">
        <v>120</v>
      </c>
      <c r="D286" s="18">
        <v>2000</v>
      </c>
      <c r="E286" s="18">
        <v>8</v>
      </c>
      <c r="F286" s="18">
        <v>1770</v>
      </c>
      <c r="G286" s="8">
        <f t="shared" si="10"/>
        <v>17770</v>
      </c>
      <c r="H286" s="27">
        <f t="shared" si="9"/>
        <v>0</v>
      </c>
      <c r="I286" s="18"/>
      <c r="J286" s="18"/>
      <c r="K286" s="18">
        <v>0.9</v>
      </c>
      <c r="L286" s="18">
        <v>0.6</v>
      </c>
      <c r="M286" s="18"/>
    </row>
    <row r="287" spans="1:13" x14ac:dyDescent="0.2">
      <c r="A287" s="18">
        <v>4337</v>
      </c>
      <c r="B287" s="18" t="s">
        <v>980</v>
      </c>
      <c r="C287" s="18">
        <v>268.7</v>
      </c>
      <c r="D287" s="18">
        <v>1000</v>
      </c>
      <c r="E287" s="18">
        <v>20</v>
      </c>
      <c r="F287" s="18"/>
      <c r="G287" s="8">
        <f t="shared" si="10"/>
        <v>20000</v>
      </c>
      <c r="H287" s="27">
        <f t="shared" si="9"/>
        <v>8.1875697804242656E-3</v>
      </c>
      <c r="I287" s="18">
        <v>2.2000000000000002</v>
      </c>
      <c r="J287" s="18"/>
      <c r="K287" s="18"/>
      <c r="L287" s="18"/>
      <c r="M287" s="18"/>
    </row>
    <row r="288" spans="1:13" x14ac:dyDescent="0.2">
      <c r="A288" s="18">
        <v>4189</v>
      </c>
      <c r="B288" s="18" t="s">
        <v>981</v>
      </c>
      <c r="C288" s="18">
        <v>118.4</v>
      </c>
      <c r="D288" s="18">
        <v>1000</v>
      </c>
      <c r="E288" s="18">
        <v>5</v>
      </c>
      <c r="F288" s="18"/>
      <c r="G288" s="8">
        <f t="shared" si="10"/>
        <v>5000</v>
      </c>
      <c r="H288" s="27">
        <f t="shared" si="9"/>
        <v>3.3783783783783786E-3</v>
      </c>
      <c r="I288" s="18">
        <v>0.4</v>
      </c>
      <c r="J288" s="18"/>
      <c r="K288" s="18"/>
      <c r="L288" s="18"/>
      <c r="M288" s="18"/>
    </row>
    <row r="289" spans="1:13" x14ac:dyDescent="0.2">
      <c r="A289" s="18">
        <v>4263</v>
      </c>
      <c r="B289" s="18" t="s">
        <v>982</v>
      </c>
      <c r="C289" s="18">
        <v>300.5</v>
      </c>
      <c r="D289" s="18">
        <v>500</v>
      </c>
      <c r="E289" s="18">
        <v>56</v>
      </c>
      <c r="F289" s="18">
        <v>475</v>
      </c>
      <c r="G289" s="8">
        <f t="shared" si="10"/>
        <v>28475</v>
      </c>
      <c r="H289" s="27">
        <f t="shared" si="9"/>
        <v>7.5500188750471878E-3</v>
      </c>
      <c r="I289" s="18">
        <v>2</v>
      </c>
      <c r="J289" s="18">
        <v>3.4</v>
      </c>
      <c r="K289" s="18">
        <v>2.1</v>
      </c>
      <c r="L289" s="18">
        <v>35.6</v>
      </c>
      <c r="M289" s="18"/>
    </row>
    <row r="290" spans="1:13" x14ac:dyDescent="0.2">
      <c r="A290" s="18">
        <v>4264</v>
      </c>
      <c r="B290" s="18" t="s">
        <v>983</v>
      </c>
      <c r="C290" s="18">
        <v>91.2</v>
      </c>
      <c r="D290" s="18">
        <v>500</v>
      </c>
      <c r="E290" s="18">
        <v>10</v>
      </c>
      <c r="F290" s="18"/>
      <c r="G290" s="8">
        <f t="shared" si="10"/>
        <v>5000</v>
      </c>
      <c r="H290" s="27">
        <f t="shared" si="9"/>
        <v>2.4516129032258062E-2</v>
      </c>
      <c r="I290" s="18">
        <v>1.9</v>
      </c>
      <c r="J290" s="18">
        <v>1.2</v>
      </c>
      <c r="K290" s="18"/>
      <c r="L290" s="18">
        <v>13.7</v>
      </c>
      <c r="M290" s="18"/>
    </row>
    <row r="291" spans="1:13" x14ac:dyDescent="0.2">
      <c r="A291" s="18">
        <v>3713</v>
      </c>
      <c r="B291" s="18" t="s">
        <v>618</v>
      </c>
      <c r="C291" s="18"/>
      <c r="D291" s="18">
        <v>200</v>
      </c>
      <c r="E291" s="18">
        <v>2</v>
      </c>
      <c r="F291" s="18">
        <v>25</v>
      </c>
      <c r="G291" s="8">
        <f t="shared" si="10"/>
        <v>425</v>
      </c>
      <c r="H291" s="27">
        <f t="shared" si="9"/>
        <v>0</v>
      </c>
      <c r="I291" s="18">
        <v>3.6</v>
      </c>
      <c r="J291" s="18"/>
      <c r="K291" s="18"/>
      <c r="L291" s="18"/>
      <c r="M291" s="18"/>
    </row>
    <row r="292" spans="1:13" x14ac:dyDescent="0.2">
      <c r="A292" s="18">
        <v>4262</v>
      </c>
      <c r="B292" s="18" t="s">
        <v>984</v>
      </c>
      <c r="C292" s="18">
        <v>202.6</v>
      </c>
      <c r="D292" s="18">
        <v>1500</v>
      </c>
      <c r="E292" s="18">
        <v>24</v>
      </c>
      <c r="F292" s="18"/>
      <c r="G292" s="8">
        <f t="shared" si="10"/>
        <v>36000</v>
      </c>
      <c r="H292" s="27">
        <f t="shared" si="9"/>
        <v>2.2704837117472853E-2</v>
      </c>
      <c r="I292" s="18">
        <v>4.5999999999999996</v>
      </c>
      <c r="J292" s="18">
        <v>3.3</v>
      </c>
      <c r="K292" s="18"/>
      <c r="L292" s="18"/>
      <c r="M292" s="18"/>
    </row>
    <row r="293" spans="1:13" x14ac:dyDescent="0.2">
      <c r="A293" s="18">
        <v>4189</v>
      </c>
      <c r="B293" s="18" t="s">
        <v>981</v>
      </c>
      <c r="C293" s="18"/>
      <c r="D293" s="18">
        <v>1000</v>
      </c>
      <c r="E293" s="18">
        <v>12</v>
      </c>
      <c r="F293" s="18">
        <v>600</v>
      </c>
      <c r="G293" s="8">
        <f t="shared" si="10"/>
        <v>12600</v>
      </c>
      <c r="H293" s="27">
        <f t="shared" ref="H293:H356" si="11">IFERROR(I293/(C293-L293)*100%,0)</f>
        <v>0</v>
      </c>
      <c r="I293" s="18">
        <v>0.6</v>
      </c>
      <c r="J293" s="18"/>
      <c r="K293" s="18"/>
      <c r="L293" s="18"/>
      <c r="M293" s="18"/>
    </row>
    <row r="294" spans="1:13" x14ac:dyDescent="0.2">
      <c r="A294" s="18">
        <v>4746</v>
      </c>
      <c r="B294" s="18" t="s">
        <v>482</v>
      </c>
      <c r="C294" s="18">
        <v>230.7</v>
      </c>
      <c r="D294" s="18">
        <v>2000</v>
      </c>
      <c r="E294" s="18">
        <v>29</v>
      </c>
      <c r="F294" s="18"/>
      <c r="G294" s="8">
        <f t="shared" ref="G294:G310" si="12">D294*E294+F294</f>
        <v>58000</v>
      </c>
      <c r="H294" s="27">
        <f t="shared" ref="H294:H310" si="13">IFERROR(I294/(C294-L294)*100%,0)</f>
        <v>2.6007802340702211E-3</v>
      </c>
      <c r="I294" s="18">
        <v>0.6</v>
      </c>
      <c r="J294" s="18">
        <v>2.2000000000000002</v>
      </c>
      <c r="K294" s="18"/>
      <c r="L294" s="18"/>
      <c r="M294" s="18"/>
    </row>
    <row r="295" spans="1:13" x14ac:dyDescent="0.2">
      <c r="A295" s="18">
        <v>4122</v>
      </c>
      <c r="B295" s="18" t="s">
        <v>978</v>
      </c>
      <c r="C295" s="18">
        <v>877.2</v>
      </c>
      <c r="D295" s="18">
        <v>500</v>
      </c>
      <c r="E295" s="18">
        <v>63</v>
      </c>
      <c r="F295" s="18">
        <v>225</v>
      </c>
      <c r="G295" s="8">
        <f t="shared" si="12"/>
        <v>31725</v>
      </c>
      <c r="H295" s="27">
        <f t="shared" si="13"/>
        <v>5.2439580483356124E-3</v>
      </c>
      <c r="I295" s="18">
        <v>4.5999999999999996</v>
      </c>
      <c r="J295" s="18">
        <v>4.5</v>
      </c>
      <c r="K295" s="18"/>
      <c r="L295" s="18"/>
      <c r="M295" s="18"/>
    </row>
    <row r="296" spans="1:13" x14ac:dyDescent="0.2">
      <c r="A296" s="18">
        <v>4337</v>
      </c>
      <c r="B296" s="18" t="s">
        <v>980</v>
      </c>
      <c r="C296" s="18">
        <v>151.4</v>
      </c>
      <c r="D296" s="18">
        <v>1000</v>
      </c>
      <c r="E296" s="18">
        <v>10</v>
      </c>
      <c r="F296" s="18">
        <v>680</v>
      </c>
      <c r="G296" s="8">
        <f t="shared" si="12"/>
        <v>10680</v>
      </c>
      <c r="H296" s="27">
        <f t="shared" si="13"/>
        <v>9.2470277410832222E-3</v>
      </c>
      <c r="I296" s="18">
        <v>1.4</v>
      </c>
      <c r="J296" s="18"/>
      <c r="K296" s="18"/>
      <c r="L296" s="18"/>
      <c r="M296" s="18"/>
    </row>
    <row r="297" spans="1:13" x14ac:dyDescent="0.2">
      <c r="A297" s="18">
        <v>4273</v>
      </c>
      <c r="B297" s="18" t="s">
        <v>985</v>
      </c>
      <c r="C297" s="18">
        <v>186</v>
      </c>
      <c r="D297" s="18">
        <v>1000</v>
      </c>
      <c r="E297" s="18">
        <v>15</v>
      </c>
      <c r="F297" s="18">
        <v>300</v>
      </c>
      <c r="G297" s="8">
        <f t="shared" si="12"/>
        <v>15300</v>
      </c>
      <c r="H297" s="27">
        <f t="shared" si="13"/>
        <v>1.2365591397849462E-2</v>
      </c>
      <c r="I297" s="18">
        <v>2.2999999999999998</v>
      </c>
      <c r="J297" s="18"/>
      <c r="K297" s="18"/>
      <c r="L297" s="18"/>
      <c r="M297" s="18"/>
    </row>
    <row r="298" spans="1:13" x14ac:dyDescent="0.2">
      <c r="A298" s="18">
        <v>4416</v>
      </c>
      <c r="B298" s="18" t="s">
        <v>986</v>
      </c>
      <c r="C298" s="18">
        <v>7.5</v>
      </c>
      <c r="D298" s="18">
        <v>300</v>
      </c>
      <c r="E298" s="18">
        <v>1</v>
      </c>
      <c r="F298" s="18"/>
      <c r="G298" s="8">
        <f t="shared" si="12"/>
        <v>300</v>
      </c>
      <c r="H298" s="27">
        <f t="shared" si="13"/>
        <v>0.18666666666666665</v>
      </c>
      <c r="I298" s="18">
        <v>1.4</v>
      </c>
      <c r="J298" s="18"/>
      <c r="K298" s="18"/>
      <c r="L298" s="18"/>
      <c r="M298" s="18"/>
    </row>
    <row r="299" spans="1:13" x14ac:dyDescent="0.2">
      <c r="A299" s="18">
        <v>4355</v>
      </c>
      <c r="B299" s="18" t="s">
        <v>987</v>
      </c>
      <c r="C299" s="18">
        <v>559</v>
      </c>
      <c r="D299" s="18">
        <v>700</v>
      </c>
      <c r="E299" s="18">
        <v>43</v>
      </c>
      <c r="F299" s="18">
        <v>530</v>
      </c>
      <c r="G299" s="8">
        <f t="shared" si="12"/>
        <v>30630</v>
      </c>
      <c r="H299" s="27">
        <f t="shared" si="13"/>
        <v>1.0017889087656528E-2</v>
      </c>
      <c r="I299" s="18">
        <v>5.6</v>
      </c>
      <c r="J299" s="18"/>
      <c r="K299" s="18"/>
      <c r="L299" s="18"/>
      <c r="M299" s="18" t="s">
        <v>988</v>
      </c>
    </row>
    <row r="300" spans="1:13" x14ac:dyDescent="0.2">
      <c r="A300" s="18">
        <v>4264</v>
      </c>
      <c r="B300" s="18" t="s">
        <v>626</v>
      </c>
      <c r="C300" s="18">
        <v>107</v>
      </c>
      <c r="D300" s="18">
        <v>500</v>
      </c>
      <c r="E300" s="18">
        <v>10</v>
      </c>
      <c r="F300" s="18">
        <v>265</v>
      </c>
      <c r="G300" s="8">
        <f t="shared" si="12"/>
        <v>5265</v>
      </c>
      <c r="H300" s="27">
        <f t="shared" si="13"/>
        <v>0</v>
      </c>
      <c r="I300" s="18"/>
      <c r="J300" s="18">
        <v>0.9</v>
      </c>
      <c r="K300" s="18"/>
      <c r="L300" s="18">
        <v>13.3</v>
      </c>
      <c r="M300" s="18"/>
    </row>
    <row r="301" spans="1:13" x14ac:dyDescent="0.2">
      <c r="A301" s="18">
        <v>4300</v>
      </c>
      <c r="B301" s="18" t="s">
        <v>626</v>
      </c>
      <c r="C301" s="18">
        <v>292</v>
      </c>
      <c r="D301" s="18">
        <v>500</v>
      </c>
      <c r="E301" s="18">
        <v>29</v>
      </c>
      <c r="F301" s="18">
        <v>100</v>
      </c>
      <c r="G301" s="8">
        <f t="shared" si="12"/>
        <v>14600</v>
      </c>
      <c r="H301" s="27">
        <f t="shared" si="13"/>
        <v>6.2942564909520072E-3</v>
      </c>
      <c r="I301" s="18">
        <v>1.6</v>
      </c>
      <c r="J301" s="18">
        <v>6.8</v>
      </c>
      <c r="K301" s="18"/>
      <c r="L301" s="18">
        <v>37.799999999999997</v>
      </c>
      <c r="M301" s="18"/>
    </row>
    <row r="302" spans="1:13" x14ac:dyDescent="0.2">
      <c r="A302" s="18">
        <v>4299</v>
      </c>
      <c r="B302" s="18" t="s">
        <v>897</v>
      </c>
      <c r="C302" s="18">
        <v>95</v>
      </c>
      <c r="D302" s="18">
        <v>500</v>
      </c>
      <c r="E302" s="18">
        <v>17</v>
      </c>
      <c r="F302" s="18">
        <v>500</v>
      </c>
      <c r="G302" s="8">
        <f t="shared" si="12"/>
        <v>9000</v>
      </c>
      <c r="H302" s="27">
        <f t="shared" si="13"/>
        <v>1.5294117647058824E-2</v>
      </c>
      <c r="I302" s="18">
        <v>1.3</v>
      </c>
      <c r="J302" s="18"/>
      <c r="K302" s="18"/>
      <c r="L302" s="18">
        <v>10</v>
      </c>
      <c r="M302" s="18"/>
    </row>
    <row r="303" spans="1:13" x14ac:dyDescent="0.2">
      <c r="A303" s="18">
        <v>3713</v>
      </c>
      <c r="B303" s="18" t="s">
        <v>623</v>
      </c>
      <c r="C303" s="18"/>
      <c r="D303" s="18">
        <v>200</v>
      </c>
      <c r="E303" s="18">
        <v>9</v>
      </c>
      <c r="F303" s="18">
        <v>25</v>
      </c>
      <c r="G303" s="8">
        <f t="shared" si="12"/>
        <v>1825</v>
      </c>
      <c r="H303" s="27">
        <f t="shared" si="13"/>
        <v>0</v>
      </c>
      <c r="I303" s="18"/>
      <c r="J303" s="18"/>
      <c r="K303" s="18"/>
      <c r="L303" s="18"/>
      <c r="M303" s="18"/>
    </row>
    <row r="304" spans="1:13" x14ac:dyDescent="0.2">
      <c r="A304" s="18">
        <v>3714</v>
      </c>
      <c r="B304" s="18" t="s">
        <v>623</v>
      </c>
      <c r="C304" s="18"/>
      <c r="D304" s="18">
        <v>200</v>
      </c>
      <c r="E304" s="18">
        <v>6</v>
      </c>
      <c r="F304" s="18">
        <v>75</v>
      </c>
      <c r="G304" s="8">
        <f t="shared" si="12"/>
        <v>1275</v>
      </c>
      <c r="H304" s="27">
        <f t="shared" si="13"/>
        <v>0</v>
      </c>
      <c r="I304" s="18"/>
      <c r="J304" s="18"/>
      <c r="K304" s="18"/>
      <c r="L304" s="18"/>
      <c r="M304" s="18"/>
    </row>
    <row r="305" spans="1:13" x14ac:dyDescent="0.2">
      <c r="A305" s="18">
        <v>4116</v>
      </c>
      <c r="B305" s="18" t="s">
        <v>417</v>
      </c>
      <c r="C305" s="18">
        <v>912.8</v>
      </c>
      <c r="D305" s="18">
        <v>100</v>
      </c>
      <c r="E305" s="18">
        <v>59</v>
      </c>
      <c r="F305" s="18"/>
      <c r="G305" s="8">
        <f t="shared" si="12"/>
        <v>5900</v>
      </c>
      <c r="H305" s="27">
        <f t="shared" si="13"/>
        <v>4.7107800175284842E-3</v>
      </c>
      <c r="I305" s="18">
        <v>4.3</v>
      </c>
      <c r="J305" s="18"/>
      <c r="K305" s="18"/>
      <c r="L305" s="18"/>
      <c r="M305" s="18"/>
    </row>
    <row r="306" spans="1:13" x14ac:dyDescent="0.2">
      <c r="A306" s="18">
        <v>4356</v>
      </c>
      <c r="B306" s="18" t="s">
        <v>989</v>
      </c>
      <c r="C306" s="18">
        <v>208.9</v>
      </c>
      <c r="D306" s="18">
        <v>500</v>
      </c>
      <c r="E306" s="18">
        <v>18</v>
      </c>
      <c r="F306" s="18"/>
      <c r="G306" s="8">
        <f t="shared" si="12"/>
        <v>9000</v>
      </c>
      <c r="H306" s="27">
        <f t="shared" si="13"/>
        <v>8.1378650071804691E-3</v>
      </c>
      <c r="I306" s="18">
        <v>1.7</v>
      </c>
      <c r="J306" s="18"/>
      <c r="K306" s="18"/>
      <c r="L306" s="18"/>
      <c r="M306" s="18"/>
    </row>
    <row r="307" spans="1:13" x14ac:dyDescent="0.2">
      <c r="A307" s="18">
        <v>4238</v>
      </c>
      <c r="B307" s="18" t="s">
        <v>990</v>
      </c>
      <c r="C307" s="18">
        <v>35.5</v>
      </c>
      <c r="D307" s="18">
        <v>4000</v>
      </c>
      <c r="E307" s="18">
        <v>2</v>
      </c>
      <c r="F307" s="18"/>
      <c r="G307" s="8">
        <f t="shared" si="12"/>
        <v>8000</v>
      </c>
      <c r="H307" s="27">
        <f t="shared" si="13"/>
        <v>0</v>
      </c>
      <c r="I307" s="18"/>
      <c r="J307" s="18"/>
      <c r="K307" s="18">
        <v>1</v>
      </c>
      <c r="L307" s="18"/>
      <c r="M307" s="18" t="s">
        <v>991</v>
      </c>
    </row>
    <row r="308" spans="1:13" x14ac:dyDescent="0.2">
      <c r="A308" s="18">
        <v>4220</v>
      </c>
      <c r="B308" s="18" t="s">
        <v>624</v>
      </c>
      <c r="C308" s="18">
        <v>225.9</v>
      </c>
      <c r="D308" s="18">
        <v>500</v>
      </c>
      <c r="E308" s="18">
        <v>22</v>
      </c>
      <c r="F308" s="18">
        <v>145</v>
      </c>
      <c r="G308" s="8">
        <f t="shared" si="12"/>
        <v>11145</v>
      </c>
      <c r="H308" s="27">
        <f t="shared" si="13"/>
        <v>0</v>
      </c>
      <c r="I308" s="18"/>
      <c r="J308" s="18"/>
      <c r="K308" s="18"/>
      <c r="L308" s="18"/>
      <c r="M308" s="18"/>
    </row>
    <row r="309" spans="1:13" x14ac:dyDescent="0.2">
      <c r="A309" s="18">
        <v>4219</v>
      </c>
      <c r="B309" s="18" t="s">
        <v>622</v>
      </c>
      <c r="C309" s="18">
        <v>208.9</v>
      </c>
      <c r="D309" s="18">
        <v>800</v>
      </c>
      <c r="E309" s="18">
        <v>21</v>
      </c>
      <c r="F309" s="18"/>
      <c r="G309" s="8">
        <f t="shared" si="12"/>
        <v>16800</v>
      </c>
      <c r="H309" s="27">
        <f t="shared" si="13"/>
        <v>0</v>
      </c>
      <c r="I309" s="18"/>
      <c r="J309" s="18"/>
      <c r="K309" s="18"/>
      <c r="L309" s="18"/>
      <c r="M309" s="18"/>
    </row>
    <row r="310" spans="1:13" x14ac:dyDescent="0.2">
      <c r="A310" s="18">
        <v>4116</v>
      </c>
      <c r="B310" s="18" t="s">
        <v>417</v>
      </c>
      <c r="C310" s="18">
        <v>852</v>
      </c>
      <c r="D310" s="18">
        <v>100</v>
      </c>
      <c r="E310" s="18">
        <v>54</v>
      </c>
      <c r="F310" s="18"/>
      <c r="G310" s="8">
        <f t="shared" si="12"/>
        <v>5400</v>
      </c>
      <c r="H310" s="27">
        <f t="shared" si="13"/>
        <v>1.4084507042253521E-2</v>
      </c>
      <c r="I310" s="18">
        <v>12</v>
      </c>
      <c r="J310" s="18"/>
      <c r="K310" s="18"/>
      <c r="L310" s="18"/>
      <c r="M310" s="18"/>
    </row>
    <row r="311" spans="1:13" x14ac:dyDescent="0.2">
      <c r="A311" s="18">
        <v>4390</v>
      </c>
      <c r="B311" s="18" t="s">
        <v>766</v>
      </c>
      <c r="C311" s="18">
        <v>292</v>
      </c>
      <c r="D311" s="18">
        <v>500</v>
      </c>
      <c r="E311" s="18">
        <v>24</v>
      </c>
      <c r="F311" s="18">
        <v>200</v>
      </c>
      <c r="G311" s="8">
        <f t="shared" si="10"/>
        <v>12200</v>
      </c>
      <c r="H311" s="27">
        <f t="shared" si="11"/>
        <v>1.2328767123287671E-2</v>
      </c>
      <c r="I311" s="18">
        <v>3.6</v>
      </c>
      <c r="J311" s="18"/>
      <c r="K311" s="18"/>
      <c r="L311" s="18"/>
      <c r="M311" s="18"/>
    </row>
    <row r="312" spans="1:13" x14ac:dyDescent="0.2">
      <c r="A312" s="18">
        <v>4388</v>
      </c>
      <c r="B312" s="18" t="s">
        <v>476</v>
      </c>
      <c r="C312" s="18">
        <v>140</v>
      </c>
      <c r="D312" s="18">
        <v>500</v>
      </c>
      <c r="E312" s="18">
        <v>12</v>
      </c>
      <c r="F312" s="18"/>
      <c r="G312" s="8">
        <f t="shared" si="10"/>
        <v>6000</v>
      </c>
      <c r="H312" s="27">
        <f t="shared" si="11"/>
        <v>3.0000000000000002E-2</v>
      </c>
      <c r="I312" s="18">
        <v>4.2</v>
      </c>
      <c r="J312" s="18"/>
      <c r="K312" s="18"/>
      <c r="L312" s="18"/>
      <c r="M312" s="18"/>
    </row>
    <row r="313" spans="1:13" x14ac:dyDescent="0.2">
      <c r="A313" s="18">
        <v>4389</v>
      </c>
      <c r="B313" s="18" t="s">
        <v>992</v>
      </c>
      <c r="C313" s="18">
        <v>407</v>
      </c>
      <c r="D313" s="18">
        <v>500</v>
      </c>
      <c r="E313" s="18">
        <v>17</v>
      </c>
      <c r="F313" s="18"/>
      <c r="G313" s="8">
        <f t="shared" si="10"/>
        <v>8500</v>
      </c>
      <c r="H313" s="27">
        <f t="shared" si="11"/>
        <v>8.5995085995085995E-3</v>
      </c>
      <c r="I313" s="18">
        <v>3.5</v>
      </c>
      <c r="J313" s="18"/>
      <c r="K313" s="18">
        <v>40.5</v>
      </c>
      <c r="L313" s="18"/>
      <c r="M313" s="18"/>
    </row>
    <row r="314" spans="1:13" x14ac:dyDescent="0.2">
      <c r="A314" s="18">
        <v>4356</v>
      </c>
      <c r="B314" s="18" t="s">
        <v>606</v>
      </c>
      <c r="C314" s="18">
        <v>513</v>
      </c>
      <c r="D314" s="18">
        <v>500</v>
      </c>
      <c r="E314" s="18">
        <v>48</v>
      </c>
      <c r="F314" s="18"/>
      <c r="G314" s="8">
        <f t="shared" si="10"/>
        <v>24000</v>
      </c>
      <c r="H314" s="27">
        <f t="shared" si="11"/>
        <v>2.729044834307992E-3</v>
      </c>
      <c r="I314" s="18">
        <v>1.4</v>
      </c>
      <c r="J314" s="18"/>
      <c r="K314" s="18"/>
      <c r="L314" s="18"/>
      <c r="M314" s="18"/>
    </row>
    <row r="315" spans="1:13" x14ac:dyDescent="0.2">
      <c r="A315" s="18">
        <v>4355</v>
      </c>
      <c r="B315" s="18" t="s">
        <v>232</v>
      </c>
      <c r="C315" s="18">
        <v>51</v>
      </c>
      <c r="D315" s="18">
        <v>700</v>
      </c>
      <c r="E315" s="18">
        <v>4</v>
      </c>
      <c r="F315" s="18"/>
      <c r="G315" s="8">
        <f t="shared" si="10"/>
        <v>2800</v>
      </c>
      <c r="H315" s="27">
        <f t="shared" si="11"/>
        <v>1.3725490196078431E-2</v>
      </c>
      <c r="I315" s="18">
        <v>0.7</v>
      </c>
      <c r="J315" s="18"/>
      <c r="K315" s="18"/>
      <c r="L315" s="18"/>
      <c r="M315" s="18"/>
    </row>
    <row r="316" spans="1:13" x14ac:dyDescent="0.2">
      <c r="A316" s="18">
        <v>4364</v>
      </c>
      <c r="B316" s="18" t="s">
        <v>993</v>
      </c>
      <c r="C316" s="18">
        <v>361</v>
      </c>
      <c r="D316" s="18">
        <v>1500</v>
      </c>
      <c r="E316" s="18">
        <v>26</v>
      </c>
      <c r="F316" s="18">
        <v>950</v>
      </c>
      <c r="G316" s="8">
        <f t="shared" si="10"/>
        <v>39950</v>
      </c>
      <c r="H316" s="27">
        <f t="shared" si="11"/>
        <v>4.1551246537396124E-3</v>
      </c>
      <c r="I316" s="18">
        <v>1.5</v>
      </c>
      <c r="J316" s="18"/>
      <c r="K316" s="18"/>
      <c r="L316" s="18"/>
      <c r="M316" s="18"/>
    </row>
    <row r="317" spans="1:13" x14ac:dyDescent="0.2">
      <c r="A317" s="18">
        <v>4057</v>
      </c>
      <c r="B317" s="18" t="s">
        <v>429</v>
      </c>
      <c r="C317" s="18">
        <v>302</v>
      </c>
      <c r="D317" s="18">
        <v>500</v>
      </c>
      <c r="E317" s="18">
        <v>30</v>
      </c>
      <c r="F317" s="18"/>
      <c r="G317" s="8">
        <f t="shared" si="10"/>
        <v>15000</v>
      </c>
      <c r="H317" s="27">
        <f t="shared" si="11"/>
        <v>2.3178807947019868E-2</v>
      </c>
      <c r="I317" s="18">
        <v>7</v>
      </c>
      <c r="J317" s="18"/>
      <c r="K317" s="18"/>
      <c r="L317" s="18"/>
      <c r="M317" s="18"/>
    </row>
    <row r="318" spans="1:13" x14ac:dyDescent="0.2">
      <c r="A318" s="18">
        <v>4238</v>
      </c>
      <c r="B318" s="18" t="s">
        <v>990</v>
      </c>
      <c r="C318" s="18">
        <v>40.5</v>
      </c>
      <c r="D318" s="18">
        <v>4000</v>
      </c>
      <c r="E318" s="18">
        <v>5</v>
      </c>
      <c r="F318" s="18">
        <v>3000</v>
      </c>
      <c r="G318" s="8">
        <f t="shared" si="10"/>
        <v>23000</v>
      </c>
      <c r="H318" s="27">
        <f t="shared" si="11"/>
        <v>3.7037037037037035E-2</v>
      </c>
      <c r="I318" s="18">
        <v>1.5</v>
      </c>
      <c r="J318" s="18"/>
      <c r="K318" s="18"/>
      <c r="L318" s="18"/>
      <c r="M318" s="18"/>
    </row>
    <row r="319" spans="1:13" x14ac:dyDescent="0.2">
      <c r="A319" s="18">
        <v>4225</v>
      </c>
      <c r="B319" s="18" t="s">
        <v>258</v>
      </c>
      <c r="C319" s="18">
        <v>90</v>
      </c>
      <c r="D319" s="18">
        <v>4000</v>
      </c>
      <c r="E319" s="18">
        <v>15</v>
      </c>
      <c r="F319" s="18"/>
      <c r="G319" s="8">
        <f t="shared" si="10"/>
        <v>60000</v>
      </c>
      <c r="H319" s="27">
        <f t="shared" si="11"/>
        <v>1.1111111111111112E-2</v>
      </c>
      <c r="I319" s="18">
        <v>1</v>
      </c>
      <c r="J319" s="18"/>
      <c r="K319" s="18"/>
      <c r="L319" s="18"/>
      <c r="M319" s="18"/>
    </row>
    <row r="320" spans="1:13" x14ac:dyDescent="0.2">
      <c r="A320" s="18">
        <v>3764</v>
      </c>
      <c r="B320" s="18" t="s">
        <v>482</v>
      </c>
      <c r="C320" s="18">
        <v>183</v>
      </c>
      <c r="D320" s="18">
        <v>2000</v>
      </c>
      <c r="E320" s="18">
        <v>31</v>
      </c>
      <c r="F320" s="18"/>
      <c r="G320" s="8">
        <f t="shared" si="10"/>
        <v>62000</v>
      </c>
      <c r="H320" s="27">
        <f t="shared" si="11"/>
        <v>2.295081967213115E-2</v>
      </c>
      <c r="I320" s="18">
        <v>4.2</v>
      </c>
      <c r="J320" s="18">
        <v>4.5999999999999996</v>
      </c>
      <c r="K320" s="18"/>
      <c r="L320" s="18"/>
      <c r="M320" s="18"/>
    </row>
    <row r="321" spans="1:13" x14ac:dyDescent="0.2">
      <c r="A321" s="18">
        <v>4219</v>
      </c>
      <c r="B321" s="18" t="s">
        <v>622</v>
      </c>
      <c r="C321" s="18">
        <v>51</v>
      </c>
      <c r="D321" s="18">
        <v>800</v>
      </c>
      <c r="E321" s="18">
        <v>6</v>
      </c>
      <c r="F321" s="18"/>
      <c r="G321" s="8">
        <f t="shared" si="10"/>
        <v>4800</v>
      </c>
      <c r="H321" s="27">
        <f t="shared" si="11"/>
        <v>2.2831050228310504E-2</v>
      </c>
      <c r="I321" s="18">
        <v>1</v>
      </c>
      <c r="J321" s="18"/>
      <c r="K321" s="18"/>
      <c r="L321" s="18">
        <v>7.2</v>
      </c>
      <c r="M321" s="18"/>
    </row>
    <row r="322" spans="1:13" x14ac:dyDescent="0.2">
      <c r="A322" s="18">
        <v>4009</v>
      </c>
      <c r="B322" s="18" t="s">
        <v>599</v>
      </c>
      <c r="C322" s="18">
        <v>971</v>
      </c>
      <c r="D322" s="18">
        <v>500</v>
      </c>
      <c r="E322" s="18">
        <v>136</v>
      </c>
      <c r="F322" s="18">
        <v>200</v>
      </c>
      <c r="G322" s="8">
        <f t="shared" si="10"/>
        <v>68200</v>
      </c>
      <c r="H322" s="27">
        <f t="shared" si="11"/>
        <v>1.1533888228299642E-2</v>
      </c>
      <c r="I322" s="18">
        <v>9.6999999999999993</v>
      </c>
      <c r="J322" s="18">
        <v>10.3</v>
      </c>
      <c r="K322" s="18"/>
      <c r="L322" s="18">
        <v>130</v>
      </c>
      <c r="M322" s="18"/>
    </row>
    <row r="323" spans="1:13" x14ac:dyDescent="0.2">
      <c r="A323" s="18">
        <v>4221</v>
      </c>
      <c r="B323" s="18" t="s">
        <v>994</v>
      </c>
      <c r="C323" s="18">
        <v>52.6</v>
      </c>
      <c r="D323" s="18">
        <v>500</v>
      </c>
      <c r="E323" s="18">
        <v>3</v>
      </c>
      <c r="F323" s="18"/>
      <c r="G323" s="8">
        <f t="shared" ref="G323:G386" si="14">D323*E323+F323</f>
        <v>1500</v>
      </c>
      <c r="H323" s="27">
        <f t="shared" si="11"/>
        <v>7.628865979381444E-2</v>
      </c>
      <c r="I323" s="18">
        <v>3.7</v>
      </c>
      <c r="J323" s="18"/>
      <c r="K323" s="18"/>
      <c r="L323" s="18">
        <v>4.0999999999999996</v>
      </c>
      <c r="M323" s="18"/>
    </row>
    <row r="324" spans="1:13" x14ac:dyDescent="0.2">
      <c r="A324" s="18">
        <v>3714</v>
      </c>
      <c r="B324" s="18" t="s">
        <v>623</v>
      </c>
      <c r="C324" s="18"/>
      <c r="D324" s="18">
        <v>200</v>
      </c>
      <c r="E324" s="18">
        <v>9</v>
      </c>
      <c r="F324" s="18">
        <v>100</v>
      </c>
      <c r="G324" s="8">
        <f t="shared" si="14"/>
        <v>1900</v>
      </c>
      <c r="H324" s="27">
        <f t="shared" si="11"/>
        <v>0</v>
      </c>
      <c r="I324" s="18"/>
      <c r="J324" s="18"/>
      <c r="K324" s="18"/>
      <c r="L324" s="18"/>
      <c r="M324" s="18"/>
    </row>
    <row r="325" spans="1:13" x14ac:dyDescent="0.2">
      <c r="A325" s="18">
        <v>4389</v>
      </c>
      <c r="B325" s="18" t="s">
        <v>992</v>
      </c>
      <c r="C325" s="18">
        <v>51.5</v>
      </c>
      <c r="D325" s="18">
        <v>500</v>
      </c>
      <c r="E325" s="18">
        <v>3</v>
      </c>
      <c r="F325" s="18">
        <v>260</v>
      </c>
      <c r="G325" s="8">
        <f t="shared" si="14"/>
        <v>1760</v>
      </c>
      <c r="H325" s="27">
        <f t="shared" si="11"/>
        <v>9.7087378640776691E-3</v>
      </c>
      <c r="I325" s="18">
        <v>0.5</v>
      </c>
      <c r="J325" s="18"/>
      <c r="K325" s="18"/>
      <c r="L325" s="18"/>
      <c r="M325" s="18"/>
    </row>
    <row r="326" spans="1:13" x14ac:dyDescent="0.2">
      <c r="A326" s="18">
        <v>4057</v>
      </c>
      <c r="B326" s="18" t="s">
        <v>429</v>
      </c>
      <c r="C326" s="18">
        <v>938.7</v>
      </c>
      <c r="D326" s="18">
        <v>500</v>
      </c>
      <c r="E326" s="18">
        <v>86</v>
      </c>
      <c r="F326" s="18"/>
      <c r="G326" s="8">
        <f t="shared" si="14"/>
        <v>43000</v>
      </c>
      <c r="H326" s="27">
        <f t="shared" si="11"/>
        <v>5.0069244700117182E-3</v>
      </c>
      <c r="I326" s="18">
        <v>4.7</v>
      </c>
      <c r="J326" s="18"/>
      <c r="K326" s="18"/>
      <c r="L326" s="18"/>
      <c r="M326" s="18"/>
    </row>
    <row r="327" spans="1:13" x14ac:dyDescent="0.2">
      <c r="A327" s="18">
        <v>4225</v>
      </c>
      <c r="B327" s="18" t="s">
        <v>258</v>
      </c>
      <c r="C327" s="18">
        <v>28.3</v>
      </c>
      <c r="D327" s="18">
        <v>4000</v>
      </c>
      <c r="E327" s="18">
        <v>7</v>
      </c>
      <c r="F327" s="18">
        <v>700</v>
      </c>
      <c r="G327" s="8">
        <f t="shared" si="14"/>
        <v>28700</v>
      </c>
      <c r="H327" s="27">
        <f t="shared" si="11"/>
        <v>1.7667844522968199E-2</v>
      </c>
      <c r="I327" s="18">
        <v>0.5</v>
      </c>
      <c r="J327" s="18"/>
      <c r="K327" s="18"/>
      <c r="L327" s="18"/>
      <c r="M327" s="18"/>
    </row>
    <row r="328" spans="1:13" x14ac:dyDescent="0.2">
      <c r="A328" s="18">
        <v>3764</v>
      </c>
      <c r="B328" s="18" t="s">
        <v>482</v>
      </c>
      <c r="C328" s="18">
        <v>226.7</v>
      </c>
      <c r="D328" s="18">
        <v>2000</v>
      </c>
      <c r="E328" s="18">
        <v>32</v>
      </c>
      <c r="F328" s="18"/>
      <c r="G328" s="8">
        <f t="shared" si="14"/>
        <v>64000</v>
      </c>
      <c r="H328" s="27">
        <f t="shared" si="11"/>
        <v>1.0145566828407587E-2</v>
      </c>
      <c r="I328" s="18">
        <v>2.2999999999999998</v>
      </c>
      <c r="J328" s="18"/>
      <c r="K328" s="18"/>
      <c r="L328" s="18"/>
      <c r="M328" s="18"/>
    </row>
    <row r="329" spans="1:13" x14ac:dyDescent="0.2">
      <c r="A329" s="18">
        <v>4221</v>
      </c>
      <c r="B329" s="18" t="s">
        <v>994</v>
      </c>
      <c r="C329" s="18">
        <v>762.8</v>
      </c>
      <c r="D329" s="18">
        <v>500</v>
      </c>
      <c r="E329" s="18">
        <v>60</v>
      </c>
      <c r="F329" s="18"/>
      <c r="G329" s="8">
        <f t="shared" si="14"/>
        <v>30000</v>
      </c>
      <c r="H329" s="27">
        <f t="shared" si="11"/>
        <v>8.1820886640880698E-3</v>
      </c>
      <c r="I329" s="18">
        <v>5.5</v>
      </c>
      <c r="J329" s="18">
        <v>8.9</v>
      </c>
      <c r="K329" s="18">
        <v>2.4</v>
      </c>
      <c r="L329" s="18">
        <v>90.6</v>
      </c>
      <c r="M329" s="18"/>
    </row>
    <row r="330" spans="1:13" x14ac:dyDescent="0.2">
      <c r="A330" s="18">
        <v>4268</v>
      </c>
      <c r="B330" s="18" t="s">
        <v>995</v>
      </c>
      <c r="C330" s="18">
        <v>198.3</v>
      </c>
      <c r="D330" s="18">
        <v>500</v>
      </c>
      <c r="E330" s="18">
        <v>10</v>
      </c>
      <c r="F330" s="18"/>
      <c r="G330" s="8">
        <f t="shared" si="14"/>
        <v>5000</v>
      </c>
      <c r="H330" s="27">
        <f t="shared" si="11"/>
        <v>2.2692889561270801E-2</v>
      </c>
      <c r="I330" s="18">
        <v>4.5</v>
      </c>
      <c r="J330" s="18">
        <v>5.8</v>
      </c>
      <c r="K330" s="18"/>
      <c r="L330" s="18"/>
      <c r="M330" s="18"/>
    </row>
    <row r="331" spans="1:13" x14ac:dyDescent="0.2">
      <c r="A331" s="18">
        <v>4411</v>
      </c>
      <c r="B331" s="18" t="s">
        <v>996</v>
      </c>
      <c r="C331" s="18">
        <v>199</v>
      </c>
      <c r="D331" s="18">
        <v>100</v>
      </c>
      <c r="E331" s="18">
        <v>12</v>
      </c>
      <c r="F331" s="18">
        <v>50</v>
      </c>
      <c r="G331" s="8">
        <f t="shared" si="14"/>
        <v>1250</v>
      </c>
      <c r="H331" s="27">
        <f t="shared" si="11"/>
        <v>1.6080402010050253E-2</v>
      </c>
      <c r="I331" s="18">
        <v>3.2</v>
      </c>
      <c r="J331" s="18"/>
      <c r="K331" s="18"/>
      <c r="L331" s="18"/>
      <c r="M331" s="18"/>
    </row>
    <row r="332" spans="1:13" x14ac:dyDescent="0.2">
      <c r="A332" s="18">
        <v>4410</v>
      </c>
      <c r="B332" s="18" t="s">
        <v>997</v>
      </c>
      <c r="C332" s="18">
        <v>184.9</v>
      </c>
      <c r="D332" s="18">
        <v>200</v>
      </c>
      <c r="E332" s="18">
        <v>8</v>
      </c>
      <c r="F332" s="18">
        <v>150</v>
      </c>
      <c r="G332" s="8">
        <f t="shared" si="14"/>
        <v>1750</v>
      </c>
      <c r="H332" s="27">
        <f t="shared" si="11"/>
        <v>2.4337479718766899E-2</v>
      </c>
      <c r="I332" s="18">
        <v>4.5</v>
      </c>
      <c r="J332" s="18"/>
      <c r="K332" s="18"/>
      <c r="L332" s="18"/>
      <c r="M332" s="18"/>
    </row>
    <row r="333" spans="1:13" x14ac:dyDescent="0.2">
      <c r="A333" s="18">
        <v>4404</v>
      </c>
      <c r="B333" s="18" t="s">
        <v>327</v>
      </c>
      <c r="C333" s="18">
        <v>109</v>
      </c>
      <c r="D333" s="18">
        <v>1000</v>
      </c>
      <c r="E333" s="18">
        <v>11</v>
      </c>
      <c r="F333" s="18">
        <v>600</v>
      </c>
      <c r="G333" s="8">
        <f t="shared" si="14"/>
        <v>11600</v>
      </c>
      <c r="H333" s="27">
        <f t="shared" si="11"/>
        <v>1.4678899082568808E-2</v>
      </c>
      <c r="I333" s="18">
        <v>1.6</v>
      </c>
      <c r="J333" s="18"/>
      <c r="K333" s="18"/>
      <c r="L333" s="18"/>
      <c r="M333" s="18"/>
    </row>
    <row r="334" spans="1:13" x14ac:dyDescent="0.2">
      <c r="A334" s="18">
        <v>4295</v>
      </c>
      <c r="B334" s="18" t="s">
        <v>998</v>
      </c>
      <c r="C334" s="18">
        <v>160.30000000000001</v>
      </c>
      <c r="D334" s="18">
        <v>500</v>
      </c>
      <c r="E334" s="18">
        <v>8</v>
      </c>
      <c r="F334" s="18">
        <v>200</v>
      </c>
      <c r="G334" s="8">
        <f t="shared" si="14"/>
        <v>4200</v>
      </c>
      <c r="H334" s="27">
        <f t="shared" si="11"/>
        <v>2.1834061135371178E-2</v>
      </c>
      <c r="I334" s="18">
        <v>3.5</v>
      </c>
      <c r="J334" s="18">
        <v>1.9</v>
      </c>
      <c r="K334" s="18"/>
      <c r="L334" s="18"/>
      <c r="M334" s="18"/>
    </row>
    <row r="335" spans="1:13" x14ac:dyDescent="0.2">
      <c r="A335" s="18">
        <v>4229</v>
      </c>
      <c r="B335" s="18" t="s">
        <v>253</v>
      </c>
      <c r="C335" s="18">
        <v>102.7</v>
      </c>
      <c r="D335" s="18">
        <v>4000</v>
      </c>
      <c r="E335" s="18">
        <v>15</v>
      </c>
      <c r="F335" s="18"/>
      <c r="G335" s="8">
        <f t="shared" si="14"/>
        <v>60000</v>
      </c>
      <c r="H335" s="27">
        <f t="shared" si="11"/>
        <v>3.8948393378773127E-3</v>
      </c>
      <c r="I335" s="18">
        <v>0.4</v>
      </c>
      <c r="J335" s="18"/>
      <c r="K335" s="18"/>
      <c r="L335" s="18"/>
      <c r="M335" s="18"/>
    </row>
    <row r="336" spans="1:13" x14ac:dyDescent="0.2">
      <c r="A336" s="18">
        <v>4229</v>
      </c>
      <c r="B336" s="18" t="s">
        <v>253</v>
      </c>
      <c r="C336" s="18">
        <v>45.5</v>
      </c>
      <c r="D336" s="18">
        <v>4000</v>
      </c>
      <c r="E336" s="18">
        <v>7</v>
      </c>
      <c r="F336" s="18">
        <v>2100</v>
      </c>
      <c r="G336" s="8">
        <f t="shared" si="14"/>
        <v>30100</v>
      </c>
      <c r="H336" s="27">
        <f t="shared" si="11"/>
        <v>2.6373626373626374E-2</v>
      </c>
      <c r="I336" s="18">
        <v>1.2</v>
      </c>
      <c r="J336" s="18"/>
      <c r="K336" s="18"/>
      <c r="L336" s="18"/>
      <c r="M336" s="18"/>
    </row>
    <row r="337" spans="1:13" x14ac:dyDescent="0.2">
      <c r="A337" s="18">
        <v>3764</v>
      </c>
      <c r="B337" s="18" t="s">
        <v>482</v>
      </c>
      <c r="C337" s="18">
        <v>230.5</v>
      </c>
      <c r="D337" s="18">
        <v>2000</v>
      </c>
      <c r="E337" s="18">
        <v>31</v>
      </c>
      <c r="F337" s="18">
        <v>1380</v>
      </c>
      <c r="G337" s="8">
        <f t="shared" si="14"/>
        <v>63380</v>
      </c>
      <c r="H337" s="27">
        <f t="shared" si="11"/>
        <v>6.073752711496746E-3</v>
      </c>
      <c r="I337" s="18">
        <v>1.4</v>
      </c>
      <c r="J337" s="18">
        <v>1.4</v>
      </c>
      <c r="K337" s="18">
        <v>1.2</v>
      </c>
      <c r="L337" s="18"/>
      <c r="M337" s="18"/>
    </row>
    <row r="338" spans="1:13" x14ac:dyDescent="0.2">
      <c r="A338" s="18">
        <v>4202</v>
      </c>
      <c r="B338" s="18" t="s">
        <v>999</v>
      </c>
      <c r="C338" s="18">
        <v>1311.7</v>
      </c>
      <c r="D338" s="18">
        <v>200</v>
      </c>
      <c r="E338" s="18">
        <v>109</v>
      </c>
      <c r="F338" s="18"/>
      <c r="G338" s="8">
        <f t="shared" si="14"/>
        <v>21800</v>
      </c>
      <c r="H338" s="27">
        <f t="shared" si="11"/>
        <v>1.074940916368072E-2</v>
      </c>
      <c r="I338" s="18">
        <v>14.1</v>
      </c>
      <c r="J338" s="18">
        <v>12</v>
      </c>
      <c r="K338" s="18"/>
      <c r="L338" s="18"/>
      <c r="M338" s="18"/>
    </row>
    <row r="339" spans="1:13" x14ac:dyDescent="0.2">
      <c r="A339" s="18">
        <v>4057</v>
      </c>
      <c r="B339" s="18" t="s">
        <v>412</v>
      </c>
      <c r="C339" s="18">
        <v>274</v>
      </c>
      <c r="D339" s="18">
        <v>500</v>
      </c>
      <c r="E339" s="18">
        <v>29</v>
      </c>
      <c r="F339" s="18">
        <v>400</v>
      </c>
      <c r="G339" s="8">
        <f t="shared" si="14"/>
        <v>14900</v>
      </c>
      <c r="H339" s="27">
        <f t="shared" si="11"/>
        <v>3.9051094890510944E-2</v>
      </c>
      <c r="I339" s="18">
        <v>10.7</v>
      </c>
      <c r="J339" s="18"/>
      <c r="K339" s="18"/>
      <c r="L339" s="18"/>
      <c r="M339" s="18"/>
    </row>
    <row r="340" spans="1:13" x14ac:dyDescent="0.2">
      <c r="A340" s="18">
        <v>4221</v>
      </c>
      <c r="B340" s="18" t="s">
        <v>262</v>
      </c>
      <c r="C340" s="18">
        <v>194</v>
      </c>
      <c r="D340" s="18">
        <v>500</v>
      </c>
      <c r="E340" s="18">
        <v>19</v>
      </c>
      <c r="F340" s="18">
        <v>403</v>
      </c>
      <c r="G340" s="8">
        <f t="shared" si="14"/>
        <v>9903</v>
      </c>
      <c r="H340" s="27">
        <f t="shared" si="11"/>
        <v>1.0050251256281409E-2</v>
      </c>
      <c r="I340" s="18">
        <v>1.6</v>
      </c>
      <c r="J340" s="18">
        <v>1.1000000000000001</v>
      </c>
      <c r="K340" s="18"/>
      <c r="L340" s="18">
        <v>34.799999999999997</v>
      </c>
      <c r="M340" s="18"/>
    </row>
    <row r="341" spans="1:13" x14ac:dyDescent="0.2">
      <c r="A341" s="18">
        <v>4257</v>
      </c>
      <c r="B341" s="18" t="s">
        <v>655</v>
      </c>
      <c r="C341" s="18">
        <v>214</v>
      </c>
      <c r="D341" s="18">
        <v>500</v>
      </c>
      <c r="E341" s="18">
        <v>19</v>
      </c>
      <c r="F341" s="18">
        <v>414</v>
      </c>
      <c r="G341" s="8">
        <f t="shared" si="14"/>
        <v>9914</v>
      </c>
      <c r="H341" s="27">
        <f>IFERROR(I341/(C341-L341)*100%,0)</f>
        <v>2.7733333333333336E-2</v>
      </c>
      <c r="I341" s="18">
        <v>5.2</v>
      </c>
      <c r="J341" s="18">
        <v>1.1000000000000001</v>
      </c>
      <c r="K341" s="18"/>
      <c r="L341" s="18">
        <v>26.5</v>
      </c>
      <c r="M341" s="18"/>
    </row>
    <row r="342" spans="1:13" x14ac:dyDescent="0.2">
      <c r="A342" s="18">
        <v>4258</v>
      </c>
      <c r="B342" s="18" t="s">
        <v>580</v>
      </c>
      <c r="C342" s="18">
        <v>508.9</v>
      </c>
      <c r="D342" s="18">
        <v>500</v>
      </c>
      <c r="E342" s="18">
        <v>61</v>
      </c>
      <c r="F342" s="18">
        <v>400</v>
      </c>
      <c r="G342" s="8">
        <f t="shared" si="14"/>
        <v>30900</v>
      </c>
      <c r="H342" s="27">
        <f t="shared" si="11"/>
        <v>3.3537276229322462E-2</v>
      </c>
      <c r="I342" s="18">
        <v>14.8</v>
      </c>
      <c r="J342" s="18">
        <v>7.7</v>
      </c>
      <c r="K342" s="18"/>
      <c r="L342" s="18">
        <v>67.599999999999994</v>
      </c>
      <c r="M342" s="18"/>
    </row>
    <row r="343" spans="1:13" x14ac:dyDescent="0.2">
      <c r="A343" s="18">
        <v>4058</v>
      </c>
      <c r="B343" s="18" t="s">
        <v>446</v>
      </c>
      <c r="C343" s="18">
        <v>474.4</v>
      </c>
      <c r="D343" s="18">
        <v>500</v>
      </c>
      <c r="E343" s="18">
        <v>30</v>
      </c>
      <c r="F343" s="18"/>
      <c r="G343" s="8">
        <f t="shared" si="14"/>
        <v>15000</v>
      </c>
      <c r="H343" s="27">
        <f>IFERROR(I343/(C343-L343)*100%,0)</f>
        <v>9.2748735244519397E-3</v>
      </c>
      <c r="I343" s="18">
        <v>4.4000000000000004</v>
      </c>
      <c r="J343" s="18"/>
      <c r="K343" s="18"/>
      <c r="L343" s="18"/>
      <c r="M343" s="18"/>
    </row>
    <row r="344" spans="1:13" x14ac:dyDescent="0.2">
      <c r="A344" s="18">
        <v>4350</v>
      </c>
      <c r="B344" s="18" t="s">
        <v>49</v>
      </c>
      <c r="C344" s="18">
        <v>43.3</v>
      </c>
      <c r="D344" s="18">
        <v>4000</v>
      </c>
      <c r="E344" s="18">
        <v>11</v>
      </c>
      <c r="F344" s="18"/>
      <c r="G344" s="8">
        <f t="shared" si="14"/>
        <v>44000</v>
      </c>
      <c r="H344" s="27">
        <f t="shared" si="11"/>
        <v>1.8475750577367209E-2</v>
      </c>
      <c r="I344" s="18">
        <v>0.8</v>
      </c>
      <c r="J344" s="18"/>
      <c r="K344" s="18"/>
      <c r="L344" s="18"/>
      <c r="M344" s="18"/>
    </row>
    <row r="345" spans="1:13" x14ac:dyDescent="0.2">
      <c r="A345" s="18">
        <v>4259</v>
      </c>
      <c r="B345" s="18" t="s">
        <v>303</v>
      </c>
      <c r="C345" s="18">
        <v>153.5</v>
      </c>
      <c r="D345" s="18">
        <v>1000</v>
      </c>
      <c r="E345" s="18">
        <v>29</v>
      </c>
      <c r="F345" s="18"/>
      <c r="G345" s="8">
        <f t="shared" si="14"/>
        <v>29000</v>
      </c>
      <c r="H345" s="27">
        <f t="shared" si="11"/>
        <v>2.1152443471918306E-2</v>
      </c>
      <c r="I345" s="18">
        <v>2.9</v>
      </c>
      <c r="J345" s="18">
        <v>3.2</v>
      </c>
      <c r="K345" s="18"/>
      <c r="L345" s="18">
        <v>16.399999999999999</v>
      </c>
      <c r="M345" s="18"/>
    </row>
    <row r="346" spans="1:13" x14ac:dyDescent="0.2">
      <c r="A346" s="18">
        <v>4377</v>
      </c>
      <c r="B346" s="18" t="s">
        <v>1000</v>
      </c>
      <c r="C346" s="18">
        <v>49.5</v>
      </c>
      <c r="D346" s="18">
        <v>3000</v>
      </c>
      <c r="E346" s="18">
        <v>4</v>
      </c>
      <c r="F346" s="18"/>
      <c r="G346" s="8">
        <f t="shared" si="14"/>
        <v>12000</v>
      </c>
      <c r="H346" s="27">
        <f t="shared" si="11"/>
        <v>4.0404040404040404E-3</v>
      </c>
      <c r="I346" s="18">
        <v>0.2</v>
      </c>
      <c r="J346" s="18"/>
      <c r="K346" s="18"/>
      <c r="L346" s="18"/>
      <c r="M346" s="18"/>
    </row>
    <row r="347" spans="1:13" x14ac:dyDescent="0.2">
      <c r="A347" s="18">
        <v>4350</v>
      </c>
      <c r="B347" s="18" t="s">
        <v>49</v>
      </c>
      <c r="C347" s="18">
        <v>133.4</v>
      </c>
      <c r="D347" s="18">
        <v>4000</v>
      </c>
      <c r="E347" s="18">
        <v>25</v>
      </c>
      <c r="F347" s="18"/>
      <c r="G347" s="8">
        <f t="shared" si="14"/>
        <v>100000</v>
      </c>
      <c r="H347" s="27">
        <f t="shared" si="11"/>
        <v>8.9955022488755615E-3</v>
      </c>
      <c r="I347" s="18">
        <v>1.2</v>
      </c>
      <c r="J347" s="18"/>
      <c r="K347" s="18"/>
      <c r="L347" s="18"/>
      <c r="M347" s="18"/>
    </row>
    <row r="348" spans="1:13" x14ac:dyDescent="0.2">
      <c r="A348" s="18">
        <v>4377</v>
      </c>
      <c r="B348" s="18" t="s">
        <v>1000</v>
      </c>
      <c r="C348" s="18"/>
      <c r="D348" s="18">
        <v>3000</v>
      </c>
      <c r="E348" s="18">
        <v>7</v>
      </c>
      <c r="F348" s="18"/>
      <c r="G348" s="8">
        <f t="shared" si="14"/>
        <v>21000</v>
      </c>
      <c r="H348" s="27">
        <f t="shared" si="11"/>
        <v>0</v>
      </c>
      <c r="I348" s="18">
        <v>1.2</v>
      </c>
      <c r="J348" s="18"/>
      <c r="K348" s="18"/>
      <c r="L348" s="18"/>
      <c r="M348" s="18"/>
    </row>
    <row r="349" spans="1:13" x14ac:dyDescent="0.2">
      <c r="A349" s="18">
        <v>4202</v>
      </c>
      <c r="B349" s="18" t="s">
        <v>999</v>
      </c>
      <c r="C349" s="18">
        <v>1489</v>
      </c>
      <c r="D349" s="18">
        <v>200</v>
      </c>
      <c r="E349" s="18">
        <v>116</v>
      </c>
      <c r="F349" s="18"/>
      <c r="G349" s="8">
        <f t="shared" si="14"/>
        <v>23200</v>
      </c>
      <c r="H349" s="27">
        <f t="shared" si="11"/>
        <v>1.0409670920080591E-2</v>
      </c>
      <c r="I349" s="18">
        <v>15.5</v>
      </c>
      <c r="J349" s="18">
        <v>31.9</v>
      </c>
      <c r="K349" s="18"/>
      <c r="L349" s="18"/>
      <c r="M349" s="18"/>
    </row>
    <row r="350" spans="1:13" x14ac:dyDescent="0.2">
      <c r="A350" s="18">
        <v>4058</v>
      </c>
      <c r="B350" s="18" t="s">
        <v>446</v>
      </c>
      <c r="C350" s="18">
        <v>1702</v>
      </c>
      <c r="D350" s="18">
        <v>500</v>
      </c>
      <c r="E350" s="18">
        <v>104</v>
      </c>
      <c r="F350" s="18"/>
      <c r="G350" s="8">
        <f t="shared" si="14"/>
        <v>52000</v>
      </c>
      <c r="H350" s="27">
        <f t="shared" si="11"/>
        <v>5.0528789659224438E-3</v>
      </c>
      <c r="I350" s="18">
        <v>8.6</v>
      </c>
      <c r="J350" s="18"/>
      <c r="K350" s="18"/>
      <c r="L350" s="18"/>
      <c r="M350" s="18"/>
    </row>
    <row r="351" spans="1:13" x14ac:dyDescent="0.2">
      <c r="A351" s="18">
        <v>4259</v>
      </c>
      <c r="B351" s="18" t="s">
        <v>303</v>
      </c>
      <c r="C351" s="18">
        <v>348.4</v>
      </c>
      <c r="D351" s="18">
        <v>1000</v>
      </c>
      <c r="E351" s="18">
        <v>65</v>
      </c>
      <c r="F351" s="18"/>
      <c r="G351" s="8">
        <f t="shared" si="14"/>
        <v>65000</v>
      </c>
      <c r="H351" s="27">
        <f t="shared" si="11"/>
        <v>1.7375116351225569E-2</v>
      </c>
      <c r="I351" s="18">
        <v>5.6</v>
      </c>
      <c r="J351" s="18">
        <v>15.8</v>
      </c>
      <c r="K351" s="18">
        <v>11.1</v>
      </c>
      <c r="L351" s="18">
        <v>26.1</v>
      </c>
      <c r="M351" s="18"/>
    </row>
    <row r="352" spans="1:13" x14ac:dyDescent="0.2">
      <c r="A352" s="18">
        <v>4175</v>
      </c>
      <c r="B352" s="18" t="s">
        <v>120</v>
      </c>
      <c r="C352" s="18">
        <v>248</v>
      </c>
      <c r="D352" s="18">
        <v>2000</v>
      </c>
      <c r="E352" s="18">
        <v>37</v>
      </c>
      <c r="F352" s="18">
        <v>1800</v>
      </c>
      <c r="G352" s="8">
        <f t="shared" si="14"/>
        <v>75800</v>
      </c>
      <c r="H352" s="27">
        <f t="shared" si="11"/>
        <v>1.0887096774193548E-2</v>
      </c>
      <c r="I352" s="18">
        <v>2.7</v>
      </c>
      <c r="J352" s="18">
        <v>4.2</v>
      </c>
      <c r="K352" s="18"/>
      <c r="L352" s="18"/>
      <c r="M352" s="18"/>
    </row>
    <row r="353" spans="1:13" x14ac:dyDescent="0.2">
      <c r="A353" s="18">
        <v>4251</v>
      </c>
      <c r="B353" s="18" t="s">
        <v>139</v>
      </c>
      <c r="C353" s="18"/>
      <c r="D353" s="18">
        <v>2000</v>
      </c>
      <c r="E353" s="18">
        <v>2</v>
      </c>
      <c r="F353" s="18"/>
      <c r="G353" s="8">
        <f t="shared" si="14"/>
        <v>4000</v>
      </c>
      <c r="H353" s="27">
        <f t="shared" si="11"/>
        <v>0</v>
      </c>
      <c r="I353" s="18">
        <v>2.7</v>
      </c>
      <c r="J353" s="18"/>
      <c r="K353" s="18"/>
      <c r="L353" s="18"/>
      <c r="M353" s="18"/>
    </row>
    <row r="354" spans="1:13" x14ac:dyDescent="0.2">
      <c r="A354" s="18"/>
      <c r="B354" s="18"/>
      <c r="C354" s="18"/>
      <c r="D354" s="18"/>
      <c r="E354" s="18"/>
      <c r="F354" s="18"/>
      <c r="G354" s="8">
        <f t="shared" si="14"/>
        <v>0</v>
      </c>
      <c r="H354" s="27">
        <f t="shared" si="11"/>
        <v>0</v>
      </c>
      <c r="I354" s="18"/>
      <c r="J354" s="18"/>
      <c r="K354" s="18"/>
      <c r="L354" s="18"/>
      <c r="M354" s="18"/>
    </row>
    <row r="355" spans="1:13" x14ac:dyDescent="0.2">
      <c r="A355" s="18"/>
      <c r="B355" s="18"/>
      <c r="C355" s="18"/>
      <c r="D355" s="18"/>
      <c r="E355" s="18"/>
      <c r="F355" s="18"/>
      <c r="G355" s="8">
        <f t="shared" si="14"/>
        <v>0</v>
      </c>
      <c r="H355" s="27">
        <f t="shared" si="11"/>
        <v>0</v>
      </c>
      <c r="I355" s="18"/>
      <c r="J355" s="18"/>
      <c r="K355" s="18"/>
      <c r="L355" s="18"/>
      <c r="M355" s="18"/>
    </row>
    <row r="356" spans="1:13" x14ac:dyDescent="0.2">
      <c r="A356" s="18"/>
      <c r="B356" s="18"/>
      <c r="C356" s="18"/>
      <c r="D356" s="18"/>
      <c r="E356" s="18"/>
      <c r="F356" s="18"/>
      <c r="G356" s="8">
        <f t="shared" si="14"/>
        <v>0</v>
      </c>
      <c r="H356" s="27">
        <f t="shared" si="11"/>
        <v>0</v>
      </c>
      <c r="I356" s="18"/>
      <c r="J356" s="18"/>
      <c r="K356" s="18"/>
      <c r="L356" s="18"/>
      <c r="M356" s="18"/>
    </row>
    <row r="357" spans="1:13" x14ac:dyDescent="0.2">
      <c r="A357" s="18"/>
      <c r="B357" s="18"/>
      <c r="C357" s="18"/>
      <c r="D357" s="18"/>
      <c r="E357" s="18"/>
      <c r="F357" s="18"/>
      <c r="G357" s="8">
        <f t="shared" si="14"/>
        <v>0</v>
      </c>
      <c r="H357" s="27">
        <f t="shared" ref="H357:H420" si="15">IFERROR(I357/(C357-L357)*100%,0)</f>
        <v>0</v>
      </c>
      <c r="I357" s="18"/>
      <c r="J357" s="18"/>
      <c r="K357" s="18"/>
      <c r="L357" s="18"/>
      <c r="M357" s="18"/>
    </row>
    <row r="358" spans="1:13" x14ac:dyDescent="0.2">
      <c r="A358" s="18"/>
      <c r="B358" s="18"/>
      <c r="C358" s="18"/>
      <c r="D358" s="18"/>
      <c r="E358" s="18"/>
      <c r="F358" s="18"/>
      <c r="G358" s="8">
        <f t="shared" si="14"/>
        <v>0</v>
      </c>
      <c r="H358" s="27">
        <f t="shared" si="15"/>
        <v>0</v>
      </c>
      <c r="I358" s="18"/>
      <c r="J358" s="18"/>
      <c r="K358" s="18"/>
      <c r="L358" s="18"/>
      <c r="M358" s="18"/>
    </row>
    <row r="359" spans="1:13" x14ac:dyDescent="0.2">
      <c r="A359" s="18"/>
      <c r="B359" s="18"/>
      <c r="C359" s="18"/>
      <c r="D359" s="18"/>
      <c r="E359" s="18"/>
      <c r="F359" s="18"/>
      <c r="G359" s="8">
        <f t="shared" si="14"/>
        <v>0</v>
      </c>
      <c r="H359" s="27">
        <f t="shared" si="15"/>
        <v>0</v>
      </c>
      <c r="I359" s="18"/>
      <c r="J359" s="18"/>
      <c r="K359" s="18"/>
      <c r="L359" s="18"/>
      <c r="M359" s="18"/>
    </row>
    <row r="360" spans="1:13" x14ac:dyDescent="0.2">
      <c r="A360" s="18"/>
      <c r="B360" s="18"/>
      <c r="C360" s="18"/>
      <c r="D360" s="18"/>
      <c r="E360" s="18"/>
      <c r="F360" s="18"/>
      <c r="G360" s="8">
        <f t="shared" si="14"/>
        <v>0</v>
      </c>
      <c r="H360" s="27">
        <f t="shared" si="15"/>
        <v>0</v>
      </c>
      <c r="I360" s="18"/>
      <c r="J360" s="18"/>
      <c r="K360" s="18"/>
      <c r="L360" s="18"/>
      <c r="M360" s="18"/>
    </row>
    <row r="361" spans="1:13" x14ac:dyDescent="0.2">
      <c r="A361" s="18"/>
      <c r="B361" s="18"/>
      <c r="C361" s="18"/>
      <c r="D361" s="18"/>
      <c r="E361" s="18"/>
      <c r="F361" s="18"/>
      <c r="G361" s="8">
        <f t="shared" si="14"/>
        <v>0</v>
      </c>
      <c r="H361" s="27">
        <f t="shared" si="15"/>
        <v>0</v>
      </c>
      <c r="I361" s="18"/>
      <c r="J361" s="18"/>
      <c r="K361" s="18"/>
      <c r="L361" s="18"/>
      <c r="M361" s="18"/>
    </row>
    <row r="362" spans="1:13" x14ac:dyDescent="0.2">
      <c r="A362" s="18"/>
      <c r="B362" s="18"/>
      <c r="C362" s="18"/>
      <c r="D362" s="18"/>
      <c r="E362" s="18"/>
      <c r="F362" s="18"/>
      <c r="G362" s="8">
        <f t="shared" si="14"/>
        <v>0</v>
      </c>
      <c r="H362" s="27">
        <f t="shared" si="15"/>
        <v>0</v>
      </c>
      <c r="I362" s="18"/>
      <c r="J362" s="18"/>
      <c r="K362" s="18"/>
      <c r="L362" s="18"/>
      <c r="M362" s="18"/>
    </row>
    <row r="363" spans="1:13" x14ac:dyDescent="0.2">
      <c r="A363" s="18"/>
      <c r="B363" s="18"/>
      <c r="C363" s="18"/>
      <c r="D363" s="18"/>
      <c r="E363" s="18"/>
      <c r="F363" s="18"/>
      <c r="G363" s="8">
        <f t="shared" si="14"/>
        <v>0</v>
      </c>
      <c r="H363" s="27">
        <f t="shared" si="15"/>
        <v>0</v>
      </c>
      <c r="I363" s="18"/>
      <c r="J363" s="18"/>
      <c r="K363" s="18"/>
      <c r="L363" s="18"/>
      <c r="M363" s="18"/>
    </row>
    <row r="364" spans="1:13" x14ac:dyDescent="0.2">
      <c r="A364" s="18"/>
      <c r="B364" s="18"/>
      <c r="C364" s="18"/>
      <c r="D364" s="18"/>
      <c r="E364" s="18"/>
      <c r="F364" s="18"/>
      <c r="G364" s="8">
        <f t="shared" si="14"/>
        <v>0</v>
      </c>
      <c r="H364" s="27">
        <f t="shared" si="15"/>
        <v>0</v>
      </c>
      <c r="I364" s="18"/>
      <c r="J364" s="18"/>
      <c r="K364" s="18"/>
      <c r="L364" s="18"/>
      <c r="M364" s="18"/>
    </row>
    <row r="365" spans="1:13" x14ac:dyDescent="0.2">
      <c r="A365" s="18"/>
      <c r="B365" s="18"/>
      <c r="C365" s="18"/>
      <c r="D365" s="18"/>
      <c r="E365" s="18"/>
      <c r="F365" s="18"/>
      <c r="G365" s="8">
        <f t="shared" si="14"/>
        <v>0</v>
      </c>
      <c r="H365" s="27">
        <f t="shared" si="15"/>
        <v>0</v>
      </c>
      <c r="I365" s="18"/>
      <c r="J365" s="18"/>
      <c r="K365" s="18"/>
      <c r="L365" s="18"/>
      <c r="M365" s="18"/>
    </row>
    <row r="366" spans="1:13" x14ac:dyDescent="0.2">
      <c r="A366" s="18"/>
      <c r="B366" s="18"/>
      <c r="C366" s="18"/>
      <c r="D366" s="18"/>
      <c r="E366" s="18"/>
      <c r="F366" s="18"/>
      <c r="G366" s="8">
        <f t="shared" si="14"/>
        <v>0</v>
      </c>
      <c r="H366" s="27">
        <f t="shared" si="15"/>
        <v>0</v>
      </c>
      <c r="I366" s="18"/>
      <c r="J366" s="18"/>
      <c r="K366" s="18"/>
      <c r="L366" s="18"/>
      <c r="M366" s="18"/>
    </row>
    <row r="367" spans="1:13" x14ac:dyDescent="0.2">
      <c r="A367" s="18"/>
      <c r="B367" s="18"/>
      <c r="C367" s="18"/>
      <c r="D367" s="18"/>
      <c r="E367" s="18"/>
      <c r="F367" s="18"/>
      <c r="G367" s="8">
        <f t="shared" si="14"/>
        <v>0</v>
      </c>
      <c r="H367" s="27">
        <f t="shared" si="15"/>
        <v>0</v>
      </c>
      <c r="I367" s="18"/>
      <c r="J367" s="18"/>
      <c r="K367" s="18"/>
      <c r="L367" s="18"/>
      <c r="M367" s="18"/>
    </row>
    <row r="368" spans="1:13" x14ac:dyDescent="0.2">
      <c r="A368" s="18"/>
      <c r="B368" s="18"/>
      <c r="C368" s="18"/>
      <c r="D368" s="18"/>
      <c r="E368" s="18"/>
      <c r="F368" s="18"/>
      <c r="G368" s="8">
        <f t="shared" si="14"/>
        <v>0</v>
      </c>
      <c r="H368" s="27">
        <f t="shared" si="15"/>
        <v>0</v>
      </c>
      <c r="I368" s="18"/>
      <c r="J368" s="18"/>
      <c r="K368" s="18"/>
      <c r="L368" s="18"/>
      <c r="M368" s="18"/>
    </row>
    <row r="369" spans="1:13" x14ac:dyDescent="0.2">
      <c r="A369" s="18"/>
      <c r="B369" s="18"/>
      <c r="C369" s="18"/>
      <c r="D369" s="18"/>
      <c r="E369" s="18"/>
      <c r="F369" s="18"/>
      <c r="G369" s="8">
        <f t="shared" si="14"/>
        <v>0</v>
      </c>
      <c r="H369" s="27">
        <f t="shared" si="15"/>
        <v>0</v>
      </c>
      <c r="I369" s="18"/>
      <c r="J369" s="18"/>
      <c r="K369" s="18"/>
      <c r="L369" s="18"/>
      <c r="M369" s="18"/>
    </row>
    <row r="370" spans="1:13" x14ac:dyDescent="0.2">
      <c r="A370" s="18"/>
      <c r="B370" s="18"/>
      <c r="C370" s="18"/>
      <c r="D370" s="18"/>
      <c r="E370" s="18"/>
      <c r="F370" s="18"/>
      <c r="G370" s="8">
        <f t="shared" si="14"/>
        <v>0</v>
      </c>
      <c r="H370" s="27">
        <f t="shared" si="15"/>
        <v>0</v>
      </c>
      <c r="I370" s="18"/>
      <c r="J370" s="18"/>
      <c r="K370" s="18"/>
      <c r="L370" s="18"/>
      <c r="M370" s="18"/>
    </row>
    <row r="371" spans="1:13" x14ac:dyDescent="0.2">
      <c r="A371" s="18"/>
      <c r="B371" s="18"/>
      <c r="C371" s="18"/>
      <c r="D371" s="18"/>
      <c r="E371" s="18"/>
      <c r="F371" s="18"/>
      <c r="G371" s="8">
        <f t="shared" si="14"/>
        <v>0</v>
      </c>
      <c r="H371" s="27">
        <f t="shared" si="15"/>
        <v>0</v>
      </c>
      <c r="I371" s="18"/>
      <c r="J371" s="18"/>
      <c r="K371" s="18"/>
      <c r="L371" s="18"/>
      <c r="M371" s="18"/>
    </row>
    <row r="372" spans="1:13" x14ac:dyDescent="0.2">
      <c r="A372" s="18"/>
      <c r="B372" s="18"/>
      <c r="C372" s="18"/>
      <c r="D372" s="18"/>
      <c r="E372" s="18"/>
      <c r="F372" s="18"/>
      <c r="G372" s="8">
        <f t="shared" si="14"/>
        <v>0</v>
      </c>
      <c r="H372" s="27">
        <f t="shared" si="15"/>
        <v>0</v>
      </c>
      <c r="I372" s="18"/>
      <c r="J372" s="18"/>
      <c r="K372" s="18"/>
      <c r="L372" s="18"/>
      <c r="M372" s="18"/>
    </row>
    <row r="373" spans="1:13" x14ac:dyDescent="0.2">
      <c r="A373" s="18"/>
      <c r="B373" s="18"/>
      <c r="C373" s="18"/>
      <c r="D373" s="18"/>
      <c r="E373" s="18"/>
      <c r="F373" s="18"/>
      <c r="G373" s="8">
        <f t="shared" si="14"/>
        <v>0</v>
      </c>
      <c r="H373" s="27">
        <f t="shared" si="15"/>
        <v>0</v>
      </c>
      <c r="I373" s="18"/>
      <c r="J373" s="18"/>
      <c r="K373" s="18"/>
      <c r="L373" s="18"/>
      <c r="M373" s="18"/>
    </row>
    <row r="374" spans="1:13" x14ac:dyDescent="0.2">
      <c r="A374" s="18"/>
      <c r="B374" s="18"/>
      <c r="C374" s="18"/>
      <c r="D374" s="18"/>
      <c r="E374" s="18"/>
      <c r="F374" s="18"/>
      <c r="G374" s="8">
        <f t="shared" si="14"/>
        <v>0</v>
      </c>
      <c r="H374" s="27">
        <f t="shared" si="15"/>
        <v>0</v>
      </c>
      <c r="I374" s="18"/>
      <c r="J374" s="18"/>
      <c r="K374" s="18"/>
      <c r="L374" s="18"/>
      <c r="M374" s="18"/>
    </row>
    <row r="375" spans="1:13" x14ac:dyDescent="0.2">
      <c r="A375" s="18"/>
      <c r="B375" s="18"/>
      <c r="C375" s="18"/>
      <c r="D375" s="18"/>
      <c r="E375" s="18"/>
      <c r="F375" s="18"/>
      <c r="G375" s="8">
        <f t="shared" si="14"/>
        <v>0</v>
      </c>
      <c r="H375" s="27">
        <f t="shared" si="15"/>
        <v>0</v>
      </c>
      <c r="I375" s="18"/>
      <c r="J375" s="18"/>
      <c r="K375" s="18"/>
      <c r="L375" s="18"/>
      <c r="M375" s="18"/>
    </row>
    <row r="376" spans="1:13" x14ac:dyDescent="0.2">
      <c r="A376" s="18"/>
      <c r="B376" s="18"/>
      <c r="C376" s="18"/>
      <c r="D376" s="18"/>
      <c r="E376" s="18"/>
      <c r="F376" s="18"/>
      <c r="G376" s="8">
        <f t="shared" si="14"/>
        <v>0</v>
      </c>
      <c r="H376" s="27">
        <f t="shared" si="15"/>
        <v>0</v>
      </c>
      <c r="I376" s="18"/>
      <c r="J376" s="18"/>
      <c r="K376" s="18"/>
      <c r="L376" s="18"/>
      <c r="M376" s="18"/>
    </row>
    <row r="377" spans="1:13" x14ac:dyDescent="0.2">
      <c r="A377" s="18"/>
      <c r="B377" s="18"/>
      <c r="C377" s="18"/>
      <c r="D377" s="18"/>
      <c r="E377" s="18"/>
      <c r="F377" s="18"/>
      <c r="G377" s="8">
        <f t="shared" si="14"/>
        <v>0</v>
      </c>
      <c r="H377" s="27">
        <f t="shared" si="15"/>
        <v>0</v>
      </c>
      <c r="I377" s="18"/>
      <c r="J377" s="18"/>
      <c r="K377" s="18"/>
      <c r="L377" s="18"/>
      <c r="M377" s="18"/>
    </row>
    <row r="378" spans="1:13" x14ac:dyDescent="0.2">
      <c r="A378" s="18"/>
      <c r="B378" s="18"/>
      <c r="C378" s="18"/>
      <c r="D378" s="18"/>
      <c r="E378" s="18"/>
      <c r="F378" s="18"/>
      <c r="G378" s="8">
        <f t="shared" si="14"/>
        <v>0</v>
      </c>
      <c r="H378" s="27">
        <f t="shared" si="15"/>
        <v>0</v>
      </c>
      <c r="I378" s="18"/>
      <c r="J378" s="18"/>
      <c r="K378" s="18"/>
      <c r="L378" s="18"/>
      <c r="M378" s="18"/>
    </row>
    <row r="379" spans="1:13" x14ac:dyDescent="0.2">
      <c r="A379" s="18"/>
      <c r="B379" s="18"/>
      <c r="C379" s="18"/>
      <c r="D379" s="18"/>
      <c r="E379" s="18"/>
      <c r="F379" s="18"/>
      <c r="G379" s="8">
        <f t="shared" si="14"/>
        <v>0</v>
      </c>
      <c r="H379" s="27">
        <f t="shared" si="15"/>
        <v>0</v>
      </c>
      <c r="I379" s="18"/>
      <c r="J379" s="18"/>
      <c r="K379" s="18"/>
      <c r="L379" s="18"/>
      <c r="M379" s="18"/>
    </row>
    <row r="380" spans="1:13" x14ac:dyDescent="0.2">
      <c r="A380" s="18"/>
      <c r="B380" s="18"/>
      <c r="C380" s="18"/>
      <c r="D380" s="18"/>
      <c r="E380" s="18"/>
      <c r="F380" s="18"/>
      <c r="G380" s="8">
        <f t="shared" si="14"/>
        <v>0</v>
      </c>
      <c r="H380" s="27">
        <f t="shared" si="15"/>
        <v>0</v>
      </c>
      <c r="I380" s="18"/>
      <c r="J380" s="18"/>
      <c r="K380" s="18"/>
      <c r="L380" s="18"/>
      <c r="M380" s="18"/>
    </row>
    <row r="381" spans="1:13" x14ac:dyDescent="0.2">
      <c r="A381" s="18"/>
      <c r="B381" s="18"/>
      <c r="C381" s="18"/>
      <c r="D381" s="18"/>
      <c r="E381" s="18"/>
      <c r="F381" s="18"/>
      <c r="G381" s="8">
        <f t="shared" si="14"/>
        <v>0</v>
      </c>
      <c r="H381" s="27">
        <f t="shared" si="15"/>
        <v>0</v>
      </c>
      <c r="I381" s="18"/>
      <c r="J381" s="18"/>
      <c r="K381" s="18"/>
      <c r="L381" s="18"/>
      <c r="M381" s="18"/>
    </row>
    <row r="382" spans="1:13" x14ac:dyDescent="0.2">
      <c r="A382" s="18"/>
      <c r="B382" s="18"/>
      <c r="C382" s="18"/>
      <c r="D382" s="18"/>
      <c r="E382" s="18"/>
      <c r="F382" s="18"/>
      <c r="G382" s="8">
        <f t="shared" si="14"/>
        <v>0</v>
      </c>
      <c r="H382" s="27">
        <f t="shared" si="15"/>
        <v>0</v>
      </c>
      <c r="I382" s="18"/>
      <c r="J382" s="18"/>
      <c r="K382" s="18"/>
      <c r="L382" s="18"/>
      <c r="M382" s="18"/>
    </row>
    <row r="383" spans="1:13" x14ac:dyDescent="0.2">
      <c r="A383" s="18"/>
      <c r="B383" s="18"/>
      <c r="C383" s="18"/>
      <c r="D383" s="18"/>
      <c r="E383" s="18"/>
      <c r="F383" s="18"/>
      <c r="G383" s="8">
        <f t="shared" si="14"/>
        <v>0</v>
      </c>
      <c r="H383" s="27">
        <f t="shared" si="15"/>
        <v>0</v>
      </c>
      <c r="I383" s="18"/>
      <c r="J383" s="18"/>
      <c r="K383" s="18"/>
      <c r="L383" s="18"/>
      <c r="M383" s="18"/>
    </row>
    <row r="384" spans="1:13" x14ac:dyDescent="0.2">
      <c r="A384" s="18"/>
      <c r="B384" s="18"/>
      <c r="C384" s="18"/>
      <c r="D384" s="18"/>
      <c r="E384" s="18"/>
      <c r="F384" s="18"/>
      <c r="G384" s="8">
        <f t="shared" si="14"/>
        <v>0</v>
      </c>
      <c r="H384" s="27">
        <f t="shared" si="15"/>
        <v>0</v>
      </c>
      <c r="I384" s="18"/>
      <c r="J384" s="18"/>
      <c r="K384" s="18"/>
      <c r="L384" s="18"/>
      <c r="M384" s="18"/>
    </row>
    <row r="385" spans="1:13" x14ac:dyDescent="0.2">
      <c r="A385" s="18"/>
      <c r="B385" s="18"/>
      <c r="C385" s="18"/>
      <c r="D385" s="18"/>
      <c r="E385" s="18"/>
      <c r="F385" s="18"/>
      <c r="G385" s="8">
        <f t="shared" si="14"/>
        <v>0</v>
      </c>
      <c r="H385" s="27">
        <f t="shared" si="15"/>
        <v>0</v>
      </c>
      <c r="I385" s="18"/>
      <c r="J385" s="18"/>
      <c r="K385" s="18"/>
      <c r="L385" s="18"/>
      <c r="M385" s="18"/>
    </row>
    <row r="386" spans="1:13" x14ac:dyDescent="0.2">
      <c r="A386" s="18"/>
      <c r="B386" s="18"/>
      <c r="C386" s="18"/>
      <c r="D386" s="18"/>
      <c r="E386" s="18"/>
      <c r="F386" s="18"/>
      <c r="G386" s="8">
        <f t="shared" si="14"/>
        <v>0</v>
      </c>
      <c r="H386" s="27">
        <f t="shared" si="15"/>
        <v>0</v>
      </c>
      <c r="I386" s="18"/>
      <c r="J386" s="18"/>
      <c r="K386" s="18"/>
      <c r="L386" s="18"/>
      <c r="M386" s="18"/>
    </row>
    <row r="387" spans="1:13" x14ac:dyDescent="0.2">
      <c r="A387" s="18"/>
      <c r="B387" s="18"/>
      <c r="C387" s="18"/>
      <c r="D387" s="18"/>
      <c r="E387" s="18"/>
      <c r="F387" s="18"/>
      <c r="G387" s="8">
        <f t="shared" ref="G387:G427" si="16">D387*E387+F387</f>
        <v>0</v>
      </c>
      <c r="H387" s="27">
        <f t="shared" si="15"/>
        <v>0</v>
      </c>
      <c r="I387" s="18"/>
      <c r="J387" s="18"/>
      <c r="K387" s="18"/>
      <c r="L387" s="18"/>
      <c r="M387" s="18"/>
    </row>
    <row r="388" spans="1:13" x14ac:dyDescent="0.2">
      <c r="A388" s="18"/>
      <c r="B388" s="18"/>
      <c r="C388" s="18"/>
      <c r="D388" s="18"/>
      <c r="E388" s="18"/>
      <c r="F388" s="18"/>
      <c r="G388" s="8">
        <f t="shared" si="16"/>
        <v>0</v>
      </c>
      <c r="H388" s="27">
        <f t="shared" si="15"/>
        <v>0</v>
      </c>
      <c r="I388" s="18"/>
      <c r="J388" s="18"/>
      <c r="K388" s="18"/>
      <c r="L388" s="18"/>
      <c r="M388" s="18"/>
    </row>
    <row r="389" spans="1:13" x14ac:dyDescent="0.2">
      <c r="A389" s="18"/>
      <c r="B389" s="18"/>
      <c r="C389" s="18"/>
      <c r="D389" s="18"/>
      <c r="E389" s="18"/>
      <c r="F389" s="18"/>
      <c r="G389" s="8">
        <f t="shared" si="16"/>
        <v>0</v>
      </c>
      <c r="H389" s="27">
        <f t="shared" si="15"/>
        <v>0</v>
      </c>
      <c r="I389" s="18"/>
      <c r="J389" s="18"/>
      <c r="K389" s="18"/>
      <c r="L389" s="18"/>
      <c r="M389" s="18"/>
    </row>
    <row r="390" spans="1:13" x14ac:dyDescent="0.2">
      <c r="A390" s="18"/>
      <c r="B390" s="18"/>
      <c r="C390" s="18"/>
      <c r="D390" s="18"/>
      <c r="E390" s="18"/>
      <c r="F390" s="18"/>
      <c r="G390" s="8">
        <f t="shared" si="16"/>
        <v>0</v>
      </c>
      <c r="H390" s="27">
        <f t="shared" si="15"/>
        <v>0</v>
      </c>
      <c r="I390" s="18"/>
      <c r="J390" s="18"/>
      <c r="K390" s="18"/>
      <c r="L390" s="18"/>
      <c r="M390" s="18"/>
    </row>
    <row r="391" spans="1:13" x14ac:dyDescent="0.2">
      <c r="A391" s="18"/>
      <c r="B391" s="18"/>
      <c r="C391" s="18"/>
      <c r="D391" s="18"/>
      <c r="E391" s="18"/>
      <c r="F391" s="18"/>
      <c r="G391" s="8">
        <f t="shared" si="16"/>
        <v>0</v>
      </c>
      <c r="H391" s="27">
        <f t="shared" si="15"/>
        <v>0</v>
      </c>
      <c r="I391" s="18"/>
      <c r="J391" s="18"/>
      <c r="K391" s="18"/>
      <c r="L391" s="18"/>
      <c r="M391" s="18"/>
    </row>
    <row r="392" spans="1:13" x14ac:dyDescent="0.2">
      <c r="A392" s="18"/>
      <c r="B392" s="18"/>
      <c r="C392" s="18"/>
      <c r="D392" s="18"/>
      <c r="E392" s="18"/>
      <c r="F392" s="18"/>
      <c r="G392" s="8">
        <f t="shared" si="16"/>
        <v>0</v>
      </c>
      <c r="H392" s="27">
        <f t="shared" si="15"/>
        <v>0</v>
      </c>
      <c r="I392" s="18"/>
      <c r="J392" s="18"/>
      <c r="K392" s="18"/>
      <c r="L392" s="18"/>
      <c r="M392" s="18"/>
    </row>
    <row r="393" spans="1:13" x14ac:dyDescent="0.2">
      <c r="A393" s="18"/>
      <c r="B393" s="18"/>
      <c r="C393" s="18"/>
      <c r="D393" s="18"/>
      <c r="E393" s="18"/>
      <c r="F393" s="18"/>
      <c r="G393" s="8">
        <f t="shared" si="16"/>
        <v>0</v>
      </c>
      <c r="H393" s="27">
        <f t="shared" si="15"/>
        <v>0</v>
      </c>
      <c r="I393" s="18"/>
      <c r="J393" s="18"/>
      <c r="K393" s="18"/>
      <c r="L393" s="18"/>
      <c r="M393" s="18"/>
    </row>
    <row r="394" spans="1:13" x14ac:dyDescent="0.2">
      <c r="A394" s="18"/>
      <c r="B394" s="18"/>
      <c r="C394" s="18"/>
      <c r="D394" s="18"/>
      <c r="E394" s="18"/>
      <c r="F394" s="18"/>
      <c r="G394" s="8">
        <f t="shared" si="16"/>
        <v>0</v>
      </c>
      <c r="H394" s="27">
        <f t="shared" si="15"/>
        <v>0</v>
      </c>
      <c r="I394" s="18"/>
      <c r="J394" s="18"/>
      <c r="K394" s="18"/>
      <c r="L394" s="18"/>
      <c r="M394" s="18"/>
    </row>
    <row r="395" spans="1:13" x14ac:dyDescent="0.2">
      <c r="A395" s="18"/>
      <c r="B395" s="18"/>
      <c r="C395" s="18"/>
      <c r="D395" s="18"/>
      <c r="E395" s="18"/>
      <c r="F395" s="18"/>
      <c r="G395" s="8">
        <f t="shared" si="16"/>
        <v>0</v>
      </c>
      <c r="H395" s="27">
        <f t="shared" si="15"/>
        <v>0</v>
      </c>
      <c r="I395" s="18"/>
      <c r="J395" s="18"/>
      <c r="K395" s="18"/>
      <c r="L395" s="18"/>
      <c r="M395" s="18"/>
    </row>
    <row r="396" spans="1:13" x14ac:dyDescent="0.2">
      <c r="A396" s="18"/>
      <c r="B396" s="18"/>
      <c r="C396" s="18"/>
      <c r="D396" s="18"/>
      <c r="E396" s="18"/>
      <c r="F396" s="18"/>
      <c r="G396" s="8">
        <f t="shared" si="16"/>
        <v>0</v>
      </c>
      <c r="H396" s="27">
        <f t="shared" si="15"/>
        <v>0</v>
      </c>
      <c r="I396" s="18"/>
      <c r="J396" s="18"/>
      <c r="K396" s="18"/>
      <c r="L396" s="18"/>
      <c r="M396" s="18"/>
    </row>
    <row r="397" spans="1:13" x14ac:dyDescent="0.2">
      <c r="A397" s="18"/>
      <c r="B397" s="18"/>
      <c r="C397" s="18"/>
      <c r="D397" s="18"/>
      <c r="E397" s="18"/>
      <c r="F397" s="18"/>
      <c r="G397" s="8">
        <f t="shared" si="16"/>
        <v>0</v>
      </c>
      <c r="H397" s="27">
        <f t="shared" si="15"/>
        <v>0</v>
      </c>
      <c r="I397" s="18"/>
      <c r="J397" s="18"/>
      <c r="K397" s="18"/>
      <c r="L397" s="18"/>
      <c r="M397" s="18"/>
    </row>
    <row r="398" spans="1:13" x14ac:dyDescent="0.2">
      <c r="A398" s="18"/>
      <c r="B398" s="18"/>
      <c r="C398" s="18"/>
      <c r="D398" s="18"/>
      <c r="E398" s="18"/>
      <c r="F398" s="18"/>
      <c r="G398" s="8">
        <f t="shared" si="16"/>
        <v>0</v>
      </c>
      <c r="H398" s="27">
        <f t="shared" si="15"/>
        <v>0</v>
      </c>
      <c r="I398" s="18"/>
      <c r="J398" s="18"/>
      <c r="K398" s="18"/>
      <c r="L398" s="18"/>
      <c r="M398" s="18"/>
    </row>
    <row r="399" spans="1:13" x14ac:dyDescent="0.2">
      <c r="A399" s="18"/>
      <c r="B399" s="18"/>
      <c r="C399" s="18"/>
      <c r="D399" s="18"/>
      <c r="E399" s="18"/>
      <c r="F399" s="18"/>
      <c r="G399" s="8">
        <f t="shared" si="16"/>
        <v>0</v>
      </c>
      <c r="H399" s="27">
        <f t="shared" si="15"/>
        <v>0</v>
      </c>
      <c r="I399" s="18"/>
      <c r="J399" s="18"/>
      <c r="K399" s="18"/>
      <c r="L399" s="18"/>
      <c r="M399" s="18"/>
    </row>
    <row r="400" spans="1:13" x14ac:dyDescent="0.2">
      <c r="A400" s="18"/>
      <c r="B400" s="18"/>
      <c r="C400" s="18"/>
      <c r="D400" s="18"/>
      <c r="E400" s="18"/>
      <c r="F400" s="18"/>
      <c r="G400" s="8">
        <f t="shared" si="16"/>
        <v>0</v>
      </c>
      <c r="H400" s="27">
        <f t="shared" si="15"/>
        <v>0</v>
      </c>
      <c r="I400" s="18"/>
      <c r="J400" s="18"/>
      <c r="K400" s="18"/>
      <c r="L400" s="18"/>
      <c r="M400" s="18"/>
    </row>
    <row r="401" spans="1:13" x14ac:dyDescent="0.2">
      <c r="A401" s="18"/>
      <c r="B401" s="18"/>
      <c r="C401" s="18"/>
      <c r="D401" s="18"/>
      <c r="E401" s="18"/>
      <c r="F401" s="18"/>
      <c r="G401" s="8">
        <f t="shared" si="16"/>
        <v>0</v>
      </c>
      <c r="H401" s="27">
        <f t="shared" si="15"/>
        <v>0</v>
      </c>
      <c r="I401" s="18"/>
      <c r="J401" s="18"/>
      <c r="K401" s="18"/>
      <c r="L401" s="18"/>
      <c r="M401" s="18"/>
    </row>
    <row r="402" spans="1:13" x14ac:dyDescent="0.2">
      <c r="A402" s="18"/>
      <c r="B402" s="18"/>
      <c r="C402" s="18"/>
      <c r="D402" s="18"/>
      <c r="E402" s="18"/>
      <c r="F402" s="18"/>
      <c r="G402" s="8">
        <f t="shared" si="16"/>
        <v>0</v>
      </c>
      <c r="H402" s="27">
        <f t="shared" si="15"/>
        <v>0</v>
      </c>
      <c r="I402" s="18"/>
      <c r="J402" s="18"/>
      <c r="K402" s="18"/>
      <c r="L402" s="18"/>
      <c r="M402" s="18"/>
    </row>
    <row r="403" spans="1:13" x14ac:dyDescent="0.2">
      <c r="A403" s="18"/>
      <c r="B403" s="18"/>
      <c r="C403" s="18"/>
      <c r="D403" s="18"/>
      <c r="E403" s="18"/>
      <c r="F403" s="18"/>
      <c r="G403" s="8">
        <f t="shared" si="16"/>
        <v>0</v>
      </c>
      <c r="H403" s="27">
        <f t="shared" si="15"/>
        <v>0</v>
      </c>
      <c r="I403" s="18"/>
      <c r="J403" s="18"/>
      <c r="K403" s="18"/>
      <c r="L403" s="18"/>
      <c r="M403" s="18"/>
    </row>
    <row r="404" spans="1:13" x14ac:dyDescent="0.2">
      <c r="A404" s="18"/>
      <c r="B404" s="18"/>
      <c r="C404" s="18"/>
      <c r="D404" s="18"/>
      <c r="E404" s="18"/>
      <c r="F404" s="18"/>
      <c r="G404" s="8">
        <f t="shared" si="16"/>
        <v>0</v>
      </c>
      <c r="H404" s="27">
        <f t="shared" si="15"/>
        <v>0</v>
      </c>
      <c r="I404" s="18"/>
      <c r="J404" s="18"/>
      <c r="K404" s="18"/>
      <c r="L404" s="18"/>
      <c r="M404" s="18"/>
    </row>
    <row r="405" spans="1:13" x14ac:dyDescent="0.2">
      <c r="A405" s="18"/>
      <c r="B405" s="18"/>
      <c r="C405" s="18"/>
      <c r="D405" s="18"/>
      <c r="E405" s="18"/>
      <c r="F405" s="18"/>
      <c r="G405" s="8">
        <f t="shared" si="16"/>
        <v>0</v>
      </c>
      <c r="H405" s="27">
        <f t="shared" si="15"/>
        <v>0</v>
      </c>
      <c r="I405" s="18"/>
      <c r="J405" s="18"/>
      <c r="K405" s="18"/>
      <c r="L405" s="18"/>
      <c r="M405" s="18"/>
    </row>
    <row r="406" spans="1:13" x14ac:dyDescent="0.2">
      <c r="A406" s="18"/>
      <c r="B406" s="18"/>
      <c r="C406" s="18"/>
      <c r="D406" s="18"/>
      <c r="E406" s="18"/>
      <c r="F406" s="18"/>
      <c r="G406" s="8">
        <f t="shared" si="16"/>
        <v>0</v>
      </c>
      <c r="H406" s="27">
        <f t="shared" si="15"/>
        <v>0</v>
      </c>
      <c r="I406" s="18"/>
      <c r="J406" s="18"/>
      <c r="K406" s="18"/>
      <c r="L406" s="18"/>
      <c r="M406" s="18"/>
    </row>
    <row r="407" spans="1:13" x14ac:dyDescent="0.2">
      <c r="A407" s="18"/>
      <c r="B407" s="18"/>
      <c r="C407" s="18"/>
      <c r="D407" s="18"/>
      <c r="E407" s="18"/>
      <c r="F407" s="18"/>
      <c r="G407" s="8">
        <f t="shared" si="16"/>
        <v>0</v>
      </c>
      <c r="H407" s="27">
        <f t="shared" si="15"/>
        <v>0</v>
      </c>
      <c r="I407" s="18"/>
      <c r="J407" s="18"/>
      <c r="K407" s="18"/>
      <c r="L407" s="18"/>
      <c r="M407" s="18"/>
    </row>
    <row r="408" spans="1:13" x14ac:dyDescent="0.2">
      <c r="A408" s="18"/>
      <c r="B408" s="18"/>
      <c r="C408" s="18"/>
      <c r="D408" s="18"/>
      <c r="E408" s="18"/>
      <c r="F408" s="18"/>
      <c r="G408" s="8">
        <f t="shared" si="16"/>
        <v>0</v>
      </c>
      <c r="H408" s="27">
        <f t="shared" si="15"/>
        <v>0</v>
      </c>
      <c r="I408" s="18"/>
      <c r="J408" s="18"/>
      <c r="K408" s="18"/>
      <c r="L408" s="18"/>
      <c r="M408" s="18"/>
    </row>
    <row r="409" spans="1:13" x14ac:dyDescent="0.2">
      <c r="A409" s="18"/>
      <c r="B409" s="18"/>
      <c r="C409" s="18"/>
      <c r="D409" s="18"/>
      <c r="E409" s="18"/>
      <c r="F409" s="18"/>
      <c r="G409" s="8">
        <f t="shared" si="16"/>
        <v>0</v>
      </c>
      <c r="H409" s="27">
        <f t="shared" si="15"/>
        <v>0</v>
      </c>
      <c r="I409" s="18"/>
      <c r="J409" s="18"/>
      <c r="K409" s="18"/>
      <c r="L409" s="18"/>
      <c r="M409" s="18"/>
    </row>
    <row r="410" spans="1:13" x14ac:dyDescent="0.2">
      <c r="A410" s="18"/>
      <c r="B410" s="18"/>
      <c r="C410" s="18"/>
      <c r="D410" s="18"/>
      <c r="E410" s="18"/>
      <c r="F410" s="18"/>
      <c r="G410" s="8">
        <f t="shared" si="16"/>
        <v>0</v>
      </c>
      <c r="H410" s="27">
        <f t="shared" si="15"/>
        <v>0</v>
      </c>
      <c r="I410" s="18"/>
      <c r="J410" s="18"/>
      <c r="K410" s="18"/>
      <c r="L410" s="18"/>
      <c r="M410" s="18"/>
    </row>
    <row r="411" spans="1:13" x14ac:dyDescent="0.2">
      <c r="A411" s="18"/>
      <c r="B411" s="18"/>
      <c r="C411" s="18"/>
      <c r="D411" s="18"/>
      <c r="E411" s="18"/>
      <c r="F411" s="18"/>
      <c r="G411" s="8">
        <f t="shared" si="16"/>
        <v>0</v>
      </c>
      <c r="H411" s="27">
        <f t="shared" si="15"/>
        <v>0</v>
      </c>
      <c r="I411" s="18"/>
      <c r="J411" s="18"/>
      <c r="K411" s="18"/>
      <c r="L411" s="18"/>
      <c r="M411" s="18"/>
    </row>
    <row r="412" spans="1:13" x14ac:dyDescent="0.2">
      <c r="A412" s="18"/>
      <c r="B412" s="18"/>
      <c r="C412" s="18"/>
      <c r="D412" s="18"/>
      <c r="E412" s="18"/>
      <c r="F412" s="18"/>
      <c r="G412" s="8">
        <f t="shared" si="16"/>
        <v>0</v>
      </c>
      <c r="H412" s="27">
        <f t="shared" si="15"/>
        <v>0</v>
      </c>
      <c r="I412" s="18"/>
      <c r="J412" s="18"/>
      <c r="K412" s="18"/>
      <c r="L412" s="18"/>
      <c r="M412" s="18"/>
    </row>
    <row r="413" spans="1:13" x14ac:dyDescent="0.2">
      <c r="A413" s="18"/>
      <c r="B413" s="18"/>
      <c r="C413" s="18"/>
      <c r="D413" s="18"/>
      <c r="E413" s="18"/>
      <c r="F413" s="18"/>
      <c r="G413" s="8">
        <f t="shared" si="16"/>
        <v>0</v>
      </c>
      <c r="H413" s="27">
        <f t="shared" si="15"/>
        <v>0</v>
      </c>
      <c r="I413" s="18"/>
      <c r="J413" s="18"/>
      <c r="K413" s="18"/>
      <c r="L413" s="18"/>
      <c r="M413" s="18"/>
    </row>
    <row r="414" spans="1:13" x14ac:dyDescent="0.2">
      <c r="A414" s="18"/>
      <c r="B414" s="18"/>
      <c r="C414" s="18"/>
      <c r="D414" s="18"/>
      <c r="E414" s="18"/>
      <c r="F414" s="18"/>
      <c r="G414" s="8">
        <f t="shared" si="16"/>
        <v>0</v>
      </c>
      <c r="H414" s="27">
        <f t="shared" si="15"/>
        <v>0</v>
      </c>
      <c r="I414" s="18"/>
      <c r="J414" s="18"/>
      <c r="K414" s="18"/>
      <c r="L414" s="18"/>
      <c r="M414" s="18"/>
    </row>
    <row r="415" spans="1:13" x14ac:dyDescent="0.2">
      <c r="A415" s="18"/>
      <c r="B415" s="18"/>
      <c r="C415" s="18"/>
      <c r="D415" s="18"/>
      <c r="E415" s="18"/>
      <c r="F415" s="18"/>
      <c r="G415" s="8">
        <f t="shared" si="16"/>
        <v>0</v>
      </c>
      <c r="H415" s="27">
        <f t="shared" si="15"/>
        <v>0</v>
      </c>
      <c r="I415" s="18"/>
      <c r="J415" s="18"/>
      <c r="K415" s="18"/>
      <c r="L415" s="18"/>
      <c r="M415" s="18"/>
    </row>
    <row r="416" spans="1:13" x14ac:dyDescent="0.2">
      <c r="A416" s="18"/>
      <c r="B416" s="18"/>
      <c r="C416" s="18"/>
      <c r="D416" s="18"/>
      <c r="E416" s="18"/>
      <c r="F416" s="18"/>
      <c r="G416" s="8">
        <f t="shared" si="16"/>
        <v>0</v>
      </c>
      <c r="H416" s="27">
        <f t="shared" si="15"/>
        <v>0</v>
      </c>
      <c r="I416" s="18"/>
      <c r="J416" s="18"/>
      <c r="K416" s="18"/>
      <c r="L416" s="18"/>
      <c r="M416" s="18"/>
    </row>
    <row r="417" spans="1:13" x14ac:dyDescent="0.2">
      <c r="A417" s="18"/>
      <c r="B417" s="18"/>
      <c r="C417" s="18"/>
      <c r="D417" s="18"/>
      <c r="E417" s="18"/>
      <c r="F417" s="18"/>
      <c r="G417" s="8">
        <f t="shared" si="16"/>
        <v>0</v>
      </c>
      <c r="H417" s="27">
        <f t="shared" si="15"/>
        <v>0</v>
      </c>
      <c r="I417" s="18"/>
      <c r="J417" s="18"/>
      <c r="K417" s="18"/>
      <c r="L417" s="18"/>
      <c r="M417" s="18"/>
    </row>
    <row r="418" spans="1:13" x14ac:dyDescent="0.2">
      <c r="A418" s="18"/>
      <c r="B418" s="18"/>
      <c r="C418" s="18"/>
      <c r="D418" s="18"/>
      <c r="E418" s="18"/>
      <c r="F418" s="18"/>
      <c r="G418" s="8">
        <f t="shared" si="16"/>
        <v>0</v>
      </c>
      <c r="H418" s="27">
        <f t="shared" si="15"/>
        <v>0</v>
      </c>
      <c r="I418" s="18"/>
      <c r="J418" s="18"/>
      <c r="K418" s="18"/>
      <c r="L418" s="18"/>
      <c r="M418" s="18"/>
    </row>
    <row r="419" spans="1:13" x14ac:dyDescent="0.2">
      <c r="A419" s="18"/>
      <c r="B419" s="18"/>
      <c r="C419" s="18"/>
      <c r="D419" s="18"/>
      <c r="E419" s="18"/>
      <c r="F419" s="18"/>
      <c r="G419" s="8">
        <f t="shared" si="16"/>
        <v>0</v>
      </c>
      <c r="H419" s="27">
        <f t="shared" si="15"/>
        <v>0</v>
      </c>
      <c r="I419" s="18"/>
      <c r="J419" s="18"/>
      <c r="K419" s="18"/>
      <c r="L419" s="18"/>
      <c r="M419" s="18"/>
    </row>
    <row r="420" spans="1:13" x14ac:dyDescent="0.2">
      <c r="A420" s="18"/>
      <c r="B420" s="18"/>
      <c r="C420" s="18"/>
      <c r="D420" s="18"/>
      <c r="E420" s="18"/>
      <c r="F420" s="18"/>
      <c r="G420" s="8">
        <f t="shared" si="16"/>
        <v>0</v>
      </c>
      <c r="H420" s="27">
        <f t="shared" si="15"/>
        <v>0</v>
      </c>
      <c r="I420" s="18"/>
      <c r="J420" s="18"/>
      <c r="K420" s="18"/>
      <c r="L420" s="18"/>
      <c r="M420" s="18"/>
    </row>
    <row r="421" spans="1:13" x14ac:dyDescent="0.2">
      <c r="A421" s="18"/>
      <c r="B421" s="18"/>
      <c r="C421" s="18"/>
      <c r="D421" s="18"/>
      <c r="E421" s="18"/>
      <c r="F421" s="18"/>
      <c r="G421" s="8">
        <f t="shared" si="16"/>
        <v>0</v>
      </c>
      <c r="H421" s="27">
        <f t="shared" ref="H421:H427" si="17">IFERROR(I421/(C421-L421)*100%,0)</f>
        <v>0</v>
      </c>
      <c r="I421" s="18"/>
      <c r="J421" s="18"/>
      <c r="K421" s="18"/>
      <c r="L421" s="18"/>
      <c r="M421" s="18"/>
    </row>
    <row r="422" spans="1:13" x14ac:dyDescent="0.2">
      <c r="A422" s="18"/>
      <c r="B422" s="18"/>
      <c r="C422" s="18"/>
      <c r="D422" s="18"/>
      <c r="E422" s="18"/>
      <c r="F422" s="18"/>
      <c r="G422" s="8">
        <f t="shared" si="16"/>
        <v>0</v>
      </c>
      <c r="H422" s="27">
        <f t="shared" si="17"/>
        <v>0</v>
      </c>
      <c r="I422" s="18"/>
      <c r="J422" s="18"/>
      <c r="K422" s="18"/>
      <c r="L422" s="18"/>
      <c r="M422" s="18"/>
    </row>
    <row r="423" spans="1:13" x14ac:dyDescent="0.2">
      <c r="A423" s="18"/>
      <c r="B423" s="18"/>
      <c r="C423" s="18"/>
      <c r="D423" s="18"/>
      <c r="E423" s="18"/>
      <c r="F423" s="18"/>
      <c r="G423" s="8">
        <f t="shared" si="16"/>
        <v>0</v>
      </c>
      <c r="H423" s="27">
        <f t="shared" si="17"/>
        <v>0</v>
      </c>
      <c r="I423" s="18"/>
      <c r="J423" s="18"/>
      <c r="K423" s="18"/>
      <c r="L423" s="18"/>
      <c r="M423" s="18"/>
    </row>
    <row r="424" spans="1:13" x14ac:dyDescent="0.2">
      <c r="A424" s="18"/>
      <c r="B424" s="18"/>
      <c r="C424" s="18"/>
      <c r="D424" s="18"/>
      <c r="E424" s="18"/>
      <c r="F424" s="18"/>
      <c r="G424" s="8">
        <f t="shared" si="16"/>
        <v>0</v>
      </c>
      <c r="H424" s="27">
        <f t="shared" si="17"/>
        <v>0</v>
      </c>
      <c r="I424" s="18"/>
      <c r="J424" s="18"/>
      <c r="K424" s="18"/>
      <c r="L424" s="18"/>
      <c r="M424" s="18"/>
    </row>
    <row r="425" spans="1:13" x14ac:dyDescent="0.2">
      <c r="A425" s="18"/>
      <c r="B425" s="18"/>
      <c r="C425" s="18"/>
      <c r="D425" s="18"/>
      <c r="E425" s="18"/>
      <c r="F425" s="18"/>
      <c r="G425" s="8">
        <f t="shared" si="16"/>
        <v>0</v>
      </c>
      <c r="H425" s="27">
        <f t="shared" si="17"/>
        <v>0</v>
      </c>
      <c r="I425" s="18"/>
      <c r="J425" s="18"/>
      <c r="K425" s="18"/>
      <c r="L425" s="18"/>
      <c r="M425" s="18"/>
    </row>
    <row r="426" spans="1:13" x14ac:dyDescent="0.2">
      <c r="A426" s="18"/>
      <c r="B426" s="18"/>
      <c r="C426" s="18"/>
      <c r="D426" s="18"/>
      <c r="E426" s="18"/>
      <c r="F426" s="18"/>
      <c r="G426" s="8">
        <f t="shared" si="16"/>
        <v>0</v>
      </c>
      <c r="H426" s="27">
        <f t="shared" si="17"/>
        <v>0</v>
      </c>
      <c r="I426" s="18"/>
      <c r="J426" s="18"/>
      <c r="K426" s="18"/>
      <c r="L426" s="18"/>
      <c r="M426" s="18"/>
    </row>
    <row r="427" spans="1:13" x14ac:dyDescent="0.2">
      <c r="A427" s="18"/>
      <c r="B427" s="18"/>
      <c r="C427" s="18"/>
      <c r="D427" s="18"/>
      <c r="E427" s="18"/>
      <c r="F427" s="18"/>
      <c r="G427" s="8">
        <f t="shared" si="16"/>
        <v>0</v>
      </c>
      <c r="H427" s="27">
        <f t="shared" si="17"/>
        <v>0</v>
      </c>
      <c r="I427" s="18"/>
      <c r="J427" s="18"/>
      <c r="K427" s="18"/>
      <c r="L427" s="18"/>
      <c r="M427" s="18"/>
    </row>
    <row r="428" spans="1:13" x14ac:dyDescent="0.2">
      <c r="A428" s="5"/>
      <c r="B428" s="5"/>
      <c r="C428" s="5"/>
      <c r="D428" s="5"/>
      <c r="E428" s="5"/>
      <c r="F428" s="5"/>
      <c r="G428" s="5">
        <f>SUM(G2:G427)</f>
        <v>8655177</v>
      </c>
      <c r="H428" s="5"/>
      <c r="I428" s="5"/>
      <c r="J428" s="5"/>
      <c r="K428" s="5"/>
      <c r="L428" s="5"/>
      <c r="M428" s="5"/>
    </row>
  </sheetData>
  <autoFilter ref="A1:M428" xr:uid="{00000000-0001-0000-0000-000000000000}"/>
  <conditionalFormatting sqref="A2:A427">
    <cfRule type="duplicateValues" dxfId="3" priority="14"/>
  </conditionalFormatting>
  <conditionalFormatting sqref="A429:A5000">
    <cfRule type="duplicateValues" dxfId="2" priority="13"/>
  </conditionalFormatting>
  <conditionalFormatting sqref="F16:F28">
    <cfRule type="duplicateValues" dxfId="1" priority="11"/>
  </conditionalFormatting>
  <conditionalFormatting sqref="H2:H427">
    <cfRule type="cellIs" dxfId="0" priority="12" operator="greaterThanOrEqual">
      <formula>5%</formula>
    </cfRule>
  </conditionalFormatting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Ноябрь 25</vt:lpstr>
      <vt:lpstr>Декабрь 25</vt:lpstr>
      <vt:lpstr>Январь 26</vt:lpstr>
      <vt:lpstr>Февраль 26</vt:lpstr>
      <vt:lpstr>Март 26</vt:lpstr>
      <vt:lpstr>Апрель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Дима Яковчук</cp:lastModifiedBy>
  <cp:revision/>
  <dcterms:created xsi:type="dcterms:W3CDTF">2025-12-01T08:34:27Z</dcterms:created>
  <dcterms:modified xsi:type="dcterms:W3CDTF">2026-04-28T13:10:28Z</dcterms:modified>
  <cp:category/>
  <cp:contentStatus/>
</cp:coreProperties>
</file>